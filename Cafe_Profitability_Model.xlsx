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5baa65d86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0f17d01d747f4648"/>
    <x:sheet xmlns:r="http://schemas.openxmlformats.org/officeDocument/2006/relationships" name="Revenue Analysis" sheetId="2" r:id="Rcacf938fec9543b6"/>
    <x:sheet xmlns:r="http://schemas.openxmlformats.org/officeDocument/2006/relationships" name="COGS" sheetId="3" r:id="Re4d5550b356a4776"/>
    <x:sheet xmlns:r="http://schemas.openxmlformats.org/officeDocument/2006/relationships" name="Labour" sheetId="4" r:id="R9938e6ccd42c4735"/>
    <x:sheet xmlns:r="http://schemas.openxmlformats.org/officeDocument/2006/relationships" name="Menu Profitability" sheetId="5" r:id="Rfc728df67b87407c"/>
    <x:sheet xmlns:r="http://schemas.openxmlformats.org/officeDocument/2006/relationships" name="Break-even" sheetId="6" r:id="R3389300e9f844c9d"/>
    <x:sheet xmlns:r="http://schemas.openxmlformats.org/officeDocument/2006/relationships" name="Expenses" sheetId="7" r:id="Rd30f86c564c54792"/>
    <x:sheet xmlns:r="http://schemas.openxmlformats.org/officeDocument/2006/relationships" name="Cash Flow" sheetId="8" r:id="R989716b988f9453b"/>
    <x:sheet xmlns:r="http://schemas.openxmlformats.org/officeDocument/2006/relationships" name="Recommendations" sheetId="9" r:id="Rcf2ab88f174142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[Red]($#,##0);-"/>
    <x:numFmt numFmtId="201" formatCode="#,##0;[Red](#,##0);-"/>
    <x:numFmt numFmtId="202" formatCode="$0.00;[Red]($0.00);-"/>
    <x:numFmt numFmtId="203" formatCode="0.0%;[Red](0.0%);-"/>
    <x:numFmt numFmtId="204" formatCode="0.0x"/>
  </x:numFmts>
  <x:fonts count="10">
    <x:font>
      <x:sz val="11"/>
      <x:name val="Carlito"/>
    </x:font>
    <x:font>
      <x:sz val="10"/>
      <x:color rgb="FF25313C"/>
      <x:name val="Arial"/>
    </x:font>
    <x:font>
      <x:b/>
      <x:sz val="15"/>
      <x:color rgb="FF17324D"/>
      <x:name val="Arial"/>
    </x:font>
    <x:font>
      <x:i/>
      <x:sz val="9"/>
      <x:color rgb="FF66727D"/>
      <x:name val="Arial"/>
    </x:font>
    <x:font>
      <x:b/>
      <x:sz val="11"/>
      <x:color rgb="FF17324D"/>
      <x:name val="Arial"/>
    </x:font>
    <x:font>
      <x:b/>
      <x:sz val="10"/>
      <x:color rgb="FFFFFFFF"/>
      <x:name val="Arial"/>
    </x:font>
    <x:font>
      <x:sz val="10"/>
      <x:color rgb="FF4472C4"/>
      <x:name val="Arial"/>
    </x:font>
    <x:font>
      <x:sz val="10"/>
      <x:color rgb="FF000000"/>
      <x:name val="Arial"/>
    </x:font>
    <x:font>
      <x:b/>
      <x:sz val="10"/>
      <x:color rgb="FF25313C"/>
      <x:name val="Arial"/>
    </x:font>
    <x:font>
      <x:sz val="10"/>
      <x:color rgb="FF2E7D3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0"/>
      </x:patternFill>
    </x:fill>
    <x:fill>
      <x:patternFill patternType="solid">
        <x:fgColor rgb="FF2F6F6D"/>
      </x:patternFill>
    </x:fill>
    <x:fill>
      <x:patternFill patternType="solid">
        <x:fgColor rgb="FFFFF2CC"/>
      </x:patternFill>
    </x:fill>
    <x:fill>
      <x:patternFill patternType="solid">
        <x:fgColor rgb="FFF5F7F9"/>
      </x:patternFill>
    </x:fill>
  </x:fills>
  <x:borders count="17">
    <x:border/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9E1E8"/>
      </x:right>
    </x:border>
    <x:border>
      <x:left style="thin">
        <x:color rgb="FFD9E1E8"/>
      </x:left>
      <x:right style="thin">
        <x:color rgb="FFD9E1E8"/>
      </x:right>
    </x:border>
    <x:border>
      <x:left style="thin">
        <x:color rgb="FFD9E1E8"/>
      </x:left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horizontal="center"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5" borderId="0" xfId="0" applyNumberFormat="1" applyFont="1" applyFill="1" applyBorder="1"/>
    <x:xf numFmtId="0" fontId="7" fillId="0" borderId="0" xfId="0" applyNumberFormat="1" applyFont="1" applyFill="1" applyBorder="1"/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200" fontId="6" fillId="5" borderId="0" xfId="0" applyNumberFormat="1" applyFont="1" applyFill="1" applyBorder="1"/>
    <x:xf numFmtId="200" fontId="8" fillId="6" borderId="0" xfId="0" applyNumberFormat="1" applyFont="1" applyFill="1" applyBorder="1"/>
    <x:xf numFmtId="201" fontId="6" fillId="5" borderId="0" xfId="0" applyNumberFormat="1" applyFont="1" applyFill="1" applyBorder="1"/>
    <x:xf numFmtId="201" fontId="8" fillId="6" borderId="0" xfId="0" applyNumberFormat="1" applyFont="1" applyFill="1" applyBorder="1"/>
    <x:xf numFmtId="202" fontId="7" fillId="0" borderId="0" xfId="0" applyNumberFormat="1" applyFont="1" applyFill="1" applyBorder="1"/>
    <x:xf numFmtId="202" fontId="8" fillId="6" borderId="0" xfId="0" applyNumberFormat="1" applyFont="1" applyFill="1" applyBorder="1"/>
    <x:xf numFmtId="203" fontId="7" fillId="0" borderId="0" xfId="0" applyNumberFormat="1" applyFont="1" applyFill="1" applyBorder="1"/>
    <x:xf numFmtId="203" fontId="8" fillId="6" borderId="0" xfId="0" applyNumberFormat="1" applyFont="1" applyFill="1" applyBorder="1"/>
    <x:xf numFmtId="200" fontId="7" fillId="0" borderId="0" xfId="0" applyNumberFormat="1" applyFont="1" applyFill="1" applyBorder="1"/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200" fontId="1" fillId="0" borderId="0" xfId="0" applyNumberFormat="1" applyFont="1" applyFill="1" applyBorder="1"/>
    <x:xf numFmtId="203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6" fillId="5" borderId="0" xfId="0" applyNumberFormat="1" applyFont="1" applyFill="1" applyBorder="1"/>
    <x:xf numFmtId="0" fontId="0" fillId="4" borderId="0" xfId="0" applyNumberFormat="1" applyFont="1" applyFill="1" applyBorder="1"/>
    <x:xf numFmtId="0" fontId="0" fillId="6" borderId="0" xfId="0" applyNumberFormat="1" applyFont="1" applyFill="1" applyBorder="1"/>
    <x:xf numFmtId="200" fontId="0" fillId="0" borderId="0" xfId="0" applyNumberFormat="1" applyFont="1" applyFill="1" applyBorder="1"/>
    <x:xf numFmtId="204" fontId="1" fillId="0" borderId="0" xfId="0" applyNumberFormat="1" applyFont="1" applyFill="1" applyBorder="1"/>
    <x:xf numFmtId="204" fontId="8" fillId="6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20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8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vertical="top"/>
    </x:xf>
    <x:xf numFmtId="0" fontId="6" fillId="5" borderId="8" xfId="0" applyNumberFormat="1" applyFont="1" applyFill="1" applyBorder="1" applyAlignment="1">
      <x:alignment vertical="top" wrapText="1"/>
    </x:xf>
    <x:xf numFmtId="200" fontId="6" fillId="5" borderId="8" xfId="0" applyNumberFormat="1" applyFont="1" applyFill="1" applyBorder="1" applyAlignment="1">
      <x:alignment vertical="top"/>
    </x:xf>
    <x:xf numFmtId="0" fontId="6" fillId="5" borderId="8" xfId="0" applyNumberFormat="1" applyFont="1" applyFill="1" applyBorder="1" applyAlignment="1">
      <x:alignment vertical="top"/>
    </x:xf>
    <x:xf numFmtId="0" fontId="6" fillId="5" borderId="9" xfId="0" applyNumberFormat="1" applyFont="1" applyFill="1" applyBorder="1" applyAlignment="1">
      <x:alignment vertical="top"/>
    </x:xf>
    <x:xf numFmtId="0" fontId="1" fillId="6" borderId="1" xfId="0" applyNumberFormat="1" applyFont="1" applyFill="1" applyBorder="1"/>
    <x:xf numFmtId="0" fontId="1" fillId="6" borderId="3" xfId="0" applyNumberFormat="1" applyFont="1" applyFill="1" applyBorder="1"/>
    <x:xf numFmtId="0" fontId="4" fillId="6" borderId="3" xfId="0" applyNumberFormat="1" applyFont="1" applyFill="1" applyBorder="1"/>
    <x:xf numFmtId="0" fontId="4" fillId="0" borderId="0" xfId="0" applyNumberFormat="1" applyFont="1" applyFill="1" applyBorder="1"/>
    <x:xf numFmtId="0" fontId="4" fillId="6" borderId="1" xfId="0" applyNumberFormat="1" applyFont="1" applyFill="1" applyBorder="1"/>
    <x:xf numFmtId="200" fontId="4" fillId="6" borderId="3" xfId="0" applyNumberFormat="1" applyFont="1" applyFill="1" applyBorder="1"/>
    <x:xf numFmtId="203" fontId="4" fillId="6" borderId="3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20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3" xfId="0" applyNumberFormat="1" applyFont="1" applyFill="1" applyBorder="1"/>
    <x:xf numFmtId="0" fontId="1" fillId="0" borderId="13" xfId="0" applyNumberFormat="1" applyFont="1" applyFill="1" applyBorder="1"/>
    <x:xf numFmtId="200" fontId="1" fillId="0" borderId="13" xfId="0" applyNumberFormat="1" applyFont="1" applyFill="1" applyBorder="1"/>
    <x:xf numFmtId="0" fontId="1" fillId="0" borderId="1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200" fontId="1" fillId="0" borderId="15" xfId="0" applyNumberFormat="1" applyFont="1" applyFill="1" applyBorder="1"/>
    <x:xf numFmtId="0" fontId="1" fillId="0" borderId="1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4228d7ca204a59" /><Relationship Type="http://schemas.openxmlformats.org/officeDocument/2006/relationships/theme" Target="/xl/theme/theme1.xml" Id="R38fabfdf4815487a" /><Relationship Type="http://schemas.openxmlformats.org/officeDocument/2006/relationships/sharedStrings" Target="/xl/sharedStrings.xml" Id="Rb1b81767f6e14936" /><Relationship Type="http://schemas.openxmlformats.org/officeDocument/2006/relationships/worksheet" Target="/xl/worksheets/sheet1.xml" Id="R0f17d01d747f4648" /><Relationship Type="http://schemas.openxmlformats.org/officeDocument/2006/relationships/worksheet" Target="/xl/worksheets/sheet2.xml" Id="Rcacf938fec9543b6" /><Relationship Type="http://schemas.openxmlformats.org/officeDocument/2006/relationships/worksheet" Target="/xl/worksheets/sheet3.xml" Id="Re4d5550b356a4776" /><Relationship Type="http://schemas.openxmlformats.org/officeDocument/2006/relationships/worksheet" Target="/xl/worksheets/sheet4.xml" Id="R9938e6ccd42c4735" /><Relationship Type="http://schemas.openxmlformats.org/officeDocument/2006/relationships/worksheet" Target="/xl/worksheets/sheet5.xml" Id="Rfc728df67b87407c" /><Relationship Type="http://schemas.openxmlformats.org/officeDocument/2006/relationships/worksheet" Target="/xl/worksheets/sheet6.xml" Id="R3389300e9f844c9d" /><Relationship Type="http://schemas.openxmlformats.org/officeDocument/2006/relationships/worksheet" Target="/xl/worksheets/sheet7.xml" Id="Rd30f86c564c54792" /><Relationship Type="http://schemas.openxmlformats.org/officeDocument/2006/relationships/worksheet" Target="/xl/worksheets/sheet8.xml" Id="R989716b988f9453b" /><Relationship Type="http://schemas.openxmlformats.org/officeDocument/2006/relationships/worksheet" Target="/xl/worksheets/sheet9.xml" Id="Rcf2ab88f174142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91a977315b4a7e" /><Relationship Type="http://schemas.openxmlformats.org/officeDocument/2006/relationships/chart" Target="/xl/drawings/charts/chart2.xml" Id="Rd833186f33b8402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ab010f894014d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sales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Sales</c:v>
          </c:tx>
          <c:spPr>
            <a:ln xmlns:a="http://schemas.openxmlformats.org/drawingml/2006/main" w="19050">
              <a:solidFill>
                <a:srgbClr val="2F6F6D"/>
              </a:solidFill>
              <a:prstDash val="solid"/>
            </a:ln>
          </c:spPr>
          <c:marker>
            <c:symbol val="none"/>
          </c:marker>
          <c:cat>
            <c:strRef>
              <c:f>'Executive Dashboard'!$B$15:$B$26</c:f>
              <c:strCache>
                <c:ptCount val="0"/>
              </c:strCache>
            </c:strRef>
          </c:cat>
          <c:val>
            <c:numRef>
              <c:f>'Executive Dashboard'!$C$15:$C$26</c:f>
              <c:numCache>
                <c:formatCode>$#,##0;[Red]($#,##0);-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Gross margin and labour %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Gross margin</c:v>
          </c:tx>
          <c:spPr>
            <a:ln xmlns:a="http://schemas.openxmlformats.org/drawingml/2006/main" w="19050">
              <a:solidFill>
                <a:srgbClr val="2F6F6D"/>
              </a:solidFill>
              <a:prstDash val="solid"/>
            </a:ln>
          </c:spPr>
          <c:marker>
            <c:symbol val="none"/>
          </c:marker>
          <c:cat>
            <c:strRef>
              <c:f>'Executive Dashboard'!$B$15:$B$26</c:f>
              <c:strCache>
                <c:ptCount val="0"/>
              </c:strCache>
            </c:strRef>
          </c:cat>
          <c:val>
            <c:numRef>
              <c:f>'Executive Dashboard'!$D$15:$D$26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Labour %</c:v>
          </c:tx>
          <c:spPr>
            <a:ln xmlns:a="http://schemas.openxmlformats.org/drawingml/2006/main"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'Executive Dashboard'!$B$15:$B$26</c:f>
              <c:strCache>
                <c:ptCount val="0"/>
              </c:strCache>
            </c:strRef>
          </c:cat>
          <c:val>
            <c:numRef>
              <c:f>'Executive Dashboard'!$E$15:$E$26</c:f>
              <c:numCache>
                <c:formatCode>0.0%;[Red](0.0%);-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sales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Sales</c:v>
          </c:tx>
          <c:spPr>
            <a:ln xmlns:a="http://schemas.openxmlformats.org/drawingml/2006/main" w="19050">
              <a:solidFill>
                <a:srgbClr val="2F6F6D"/>
              </a:solidFill>
              <a:prstDash val="solid"/>
            </a:ln>
          </c:spPr>
          <c:marker>
            <c:symbol val="none"/>
          </c:marker>
          <c:cat>
            <c:strRef>
              <c:f>'Revenue Analysis'!$B$8:$B$19</c:f>
              <c:strCache>
                <c:ptCount val="0"/>
              </c:strCache>
            </c:strRef>
          </c:cat>
          <c:val>
            <c:numRef>
              <c:f>'Revenue Analysis'!$C$8:$C$19</c:f>
              <c:numCache>
                <c:formatCode>$#,##0;[Red]($#,##0);-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12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91a977315b4a7e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33186f33b8402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22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b010f894014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4851a8c60445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84619df33874434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" hidden="0" customWidth="1"/>
    <x:col min="2" max="2" width="22" hidden="0" customWidth="1"/>
    <x:col min="3" max="3" width="34" hidden="0" customWidth="1"/>
    <x:col min="4" max="4" width="16" hidden="0" customWidth="1"/>
    <x:col min="5" max="5" width="24" hidden="0" customWidth="1"/>
    <x:col min="6" max="6" width="18" hidden="0" customWidth="1"/>
    <x:col min="7" max="7" width="15" hidden="0" customWidth="1"/>
    <x:col min="8" max="8" width="18" hidden="0" customWidth="1"/>
    <x:col min="9" max="9" width="14" hidden="0" customWidth="1"/>
    <x:col min="10" max="10" width="15" hidden="0" customWidth="1"/>
    <x:col min="11" max="11" width="24" hidden="0" customWidth="1"/>
    <x:col min="12" max="12" width="14" hidden="0" customWidth="1"/>
    <x:col min="13" max="13" width="15" hidden="0" customWidth="1"/>
    <x:col min="14" max="14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Café Profitability Dashboard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5" t="str">
        <x:v>Sample / illustrative analysis only. All figures are fictional and do not represent a client engagement.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/>
      <x:c r="B6" s="8" t="str">
        <x:v>12-month financial snapshot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10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/>
      <x:c r="B8" s="53" t="str">
        <x:v>12-month sales</x:v>
      </x:c>
      <x:c r="C8" s="58" t="n">
        <x:f>'Revenue Analysis'!C20</x:f>
        <x:v>1002300</x:v>
      </x:c>
      <x:c r="D8" s="56"/>
      <x:c r="E8" s="57" t="str">
        <x:v>Gross margin</x:v>
      </x:c>
      <x:c r="F8" s="59" t="n">
        <x:f>COGS!J20</x:f>
        <x:v>0.6960959792477303</x:v>
      </x:c>
      <x:c r="G8" s="56"/>
      <x:c r="H8" s="57" t="str">
        <x:v>Labour %</x:v>
      </x:c>
      <x:c r="I8" s="59" t="n">
        <x:f>Labour!H20</x:f>
        <x:v>0.3475875486381323</x:v>
      </x:c>
      <x:c r="J8" s="56"/>
      <x:c r="K8" s="57" t="str">
        <x:v>Operating result</x:v>
      </x:c>
      <x:c r="L8" s="58" t="n">
        <x:f>'Revenue Analysis'!C20-COGS!G20-Labour!G20-Expenses!P19</x:f>
        <x:v>110946</x:v>
      </x:c>
      <x:c r="M8" s="1"/>
      <x:c r="N8" s="1"/>
    </x:row>
    <x:row r="9" ht="28" customHeight="1">
      <x:c r="A9" s="1"/>
      <x:c r="B9" s="1"/>
      <x:c r="C9" s="56"/>
      <x:c r="D9" s="56"/>
      <x:c r="E9" s="56"/>
      <x:c r="F9" s="56"/>
      <x:c r="G9" s="56"/>
      <x:c r="H9" s="56"/>
      <x:c r="I9" s="56"/>
      <x:c r="J9" s="56"/>
      <x:c r="K9" s="56"/>
      <x:c r="L9" s="56"/>
      <x:c r="M9" s="1"/>
      <x:c r="N9" s="1"/>
    </x:row>
    <x:row r="10" ht="28" customHeight="1">
      <x:c r="A10" s="1"/>
      <x:c r="B10" s="53" t="str">
        <x:v>Latest break-even sales</x:v>
      </x:c>
      <x:c r="C10" s="58" t="n">
        <x:f>'Break-even'!K19</x:f>
        <x:v>70384.71530220786</x:v>
      </x:c>
      <x:c r="D10" s="56"/>
      <x:c r="E10" s="57" t="str">
        <x:v>Latest margin of safety</x:v>
      </x:c>
      <x:c r="F10" s="59" t="n">
        <x:f>'Break-even'!L19</x:f>
        <x:v>0.24962990082934056</x:v>
      </x:c>
      <x:c r="G10" s="56"/>
      <x:c r="H10" s="57" t="str">
        <x:v>Closing cash</x:v>
      </x:c>
      <x:c r="I10" s="58" t="n">
        <x:f>'Cash Flow'!J19</x:f>
        <x:v>130450</x:v>
      </x:c>
      <x:c r="J10" s="56"/>
      <x:c r="K10" s="57" t="str">
        <x:v>Monthly action potential</x:v>
      </x:c>
      <x:c r="L10" s="58" t="n">
        <x:f>SUM(Recommendations!E8:E13)</x:f>
        <x:v>5250</x:v>
      </x:c>
      <x:c r="M10" s="1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8" t="str">
        <x:v>Monthly trend</x:v>
      </x:c>
      <x:c r="C13" s="9"/>
      <x:c r="D13" s="9"/>
      <x:c r="E13" s="9"/>
      <x:c r="F13" s="9"/>
      <x:c r="G13" s="9"/>
      <x:c r="H13" s="10"/>
      <x:c r="I13" s="1"/>
      <x:c r="J13" s="1"/>
      <x:c r="K13" s="1"/>
      <x:c r="L13" s="1"/>
      <x:c r="M13" s="1"/>
      <x:c r="N13" s="1"/>
    </x:row>
    <x:row r="14" ht="24" customHeight="1">
      <x:c r="A14" s="1"/>
      <x:c r="B14" s="15" t="str">
        <x:v>Month</x:v>
      </x:c>
      <x:c r="C14" s="16" t="str">
        <x:v>Sales</x:v>
      </x:c>
      <x:c r="D14" s="16" t="str">
        <x:v>Gross margin</x:v>
      </x:c>
      <x:c r="E14" s="16" t="str">
        <x:v>Labour %</x:v>
      </x:c>
      <x:c r="F14" s="16" t="str">
        <x:v>Operating expenses</x:v>
      </x:c>
      <x:c r="G14" s="16" t="str">
        <x:v>Operating result</x:v>
      </x:c>
      <x:c r="H14" s="17" t="str">
        <x:v>Closing cash</x:v>
      </x:c>
      <x:c r="I14" s="1"/>
      <x:c r="J14" s="1"/>
      <x:c r="K14" s="1"/>
      <x:c r="L14" s="1"/>
      <x:c r="M14" s="1"/>
      <x:c r="N14" s="1"/>
    </x:row>
    <x:row r="15">
      <x:c r="A15" s="1"/>
      <x:c r="B15" s="1" t="str">
        <x:v>Oct-25</x:v>
      </x:c>
      <x:c r="C15" s="34" t="n">
        <x:f>'Revenue Analysis'!C8</x:f>
        <x:v>73500</x:v>
      </x:c>
      <x:c r="D15" s="35" t="n">
        <x:f>COGS!J8</x:f>
        <x:v>0.6937551020408164</x:v>
      </x:c>
      <x:c r="E15" s="35" t="n">
        <x:f>Labour!H8</x:f>
        <x:v>0.3621768707482993</x:v>
      </x:c>
      <x:c r="F15" s="34" t="n">
        <x:f>Expenses!D19</x:f>
        <x:v>19089</x:v>
      </x:c>
      <x:c r="G15" s="34" t="n">
        <x:f>C15-COGS!G8-Labour!G8-F15</x:f>
        <x:v>5282</x:v>
      </x:c>
      <x:c r="H15" s="34" t="n">
        <x:f>'Cash Flow'!J8</x:f>
        <x:v>39600</x:v>
      </x:c>
      <x:c r="I15" s="1"/>
      <x:c r="J15" s="1"/>
      <x:c r="K15" s="1"/>
      <x:c r="L15" s="1"/>
      <x:c r="M15" s="1"/>
      <x:c r="N15" s="1"/>
    </x:row>
    <x:row r="16">
      <x:c r="A16" s="1"/>
      <x:c r="B16" s="1" t="str">
        <x:v>Nov-25</x:v>
      </x:c>
      <x:c r="C16" s="34" t="n">
        <x:f>'Revenue Analysis'!C9</x:f>
        <x:v>75200</x:v>
      </x:c>
      <x:c r="D16" s="35" t="n">
        <x:f>COGS!J9</x:f>
        <x:v>0.6909840425531915</x:v>
      </x:c>
      <x:c r="E16" s="35" t="n">
        <x:f>Labour!H9</x:f>
        <x:v>0.36234042553191487</x:v>
      </x:c>
      <x:c r="F16" s="34" t="n">
        <x:f>Expenses!E19</x:f>
        <x:v>18924</x:v>
      </x:c>
      <x:c r="G16" s="34" t="n">
        <x:f>C16-COGS!G9-Labour!G9-F16</x:f>
        <x:v>5790</x:v>
      </x:c>
      <x:c r="H16" s="34" t="n">
        <x:f>'Cash Flow'!J9</x:f>
        <x:v>44600</x:v>
      </x:c>
      <x:c r="I16" s="1"/>
      <x:c r="J16" s="1"/>
      <x:c r="K16" s="1"/>
      <x:c r="L16" s="1"/>
      <x:c r="M16" s="1"/>
      <x:c r="N16" s="1"/>
    </x:row>
    <x:row r="17">
      <x:c r="A17" s="1"/>
      <x:c r="B17" s="1" t="str">
        <x:v>Dec-25</x:v>
      </x:c>
      <x:c r="C17" s="34" t="n">
        <x:f>'Revenue Analysis'!C10</x:f>
        <x:v>78100</x:v>
      </x:c>
      <x:c r="D17" s="35" t="n">
        <x:f>COGS!J10</x:f>
        <x:v>0.6937516005121639</x:v>
      </x:c>
      <x:c r="E17" s="35" t="n">
        <x:f>Labour!H10</x:f>
        <x:v>0.35907810499359794</x:v>
      </x:c>
      <x:c r="F17" s="34" t="n">
        <x:f>Expenses!F19</x:f>
        <x:v>19765</x:v>
      </x:c>
      <x:c r="G17" s="34" t="n">
        <x:f>C17-COGS!G10-Labour!G10-F17</x:f>
        <x:v>6373</x:v>
      </x:c>
      <x:c r="H17" s="34" t="n">
        <x:f>'Cash Flow'!J10</x:f>
        <x:v>49600</x:v>
      </x:c>
      <x:c r="I17" s="1"/>
      <x:c r="J17" s="1"/>
      <x:c r="K17" s="1"/>
      <x:c r="L17" s="1"/>
      <x:c r="M17" s="1"/>
      <x:c r="N17" s="1"/>
    </x:row>
    <x:row r="18">
      <x:c r="A18" s="1"/>
      <x:c r="B18" s="1" t="str">
        <x:v>Jan-26</x:v>
      </x:c>
      <x:c r="C18" s="34" t="n">
        <x:f>'Revenue Analysis'!C11</x:f>
        <x:v>81200</x:v>
      </x:c>
      <x:c r="D18" s="35" t="n">
        <x:f>COGS!J11</x:f>
        <x:v>0.6958128078817734</x:v>
      </x:c>
      <x:c r="E18" s="35" t="n">
        <x:f>Labour!H11</x:f>
        <x:v>0.35379310344827586</x:v>
      </x:c>
      <x:c r="F18" s="34" t="n">
        <x:f>Expenses!G19</x:f>
        <x:v>21010</x:v>
      </x:c>
      <x:c r="G18" s="34" t="n">
        <x:f>C18-COGS!G11-Labour!G11-F18</x:f>
        <x:v>6762</x:v>
      </x:c>
      <x:c r="H18" s="34" t="n">
        <x:f>'Cash Flow'!J11</x:f>
        <x:v>52450</x:v>
      </x:c>
      <x:c r="I18" s="1"/>
      <x:c r="J18" s="1"/>
      <x:c r="K18" s="1"/>
      <x:c r="L18" s="1"/>
      <x:c r="M18" s="1"/>
      <x:c r="N18" s="1"/>
    </x:row>
    <x:row r="19">
      <x:c r="A19" s="1"/>
      <x:c r="B19" s="1" t="str">
        <x:v>Feb-26</x:v>
      </x:c>
      <x:c r="C19" s="34" t="n">
        <x:f>'Revenue Analysis'!C12</x:f>
        <x:v>79500</x:v>
      </x:c>
      <x:c r="D19" s="35" t="n">
        <x:f>COGS!J12</x:f>
        <x:v>0.6878490566037736</x:v>
      </x:c>
      <x:c r="E19" s="35" t="n">
        <x:f>Labour!H12</x:f>
        <x:v>0.366377358490566</x:v>
      </x:c>
      <x:c r="F19" s="34" t="n">
        <x:f>Expenses!H19</x:f>
        <x:v>19570</x:v>
      </x:c>
      <x:c r="G19" s="34" t="n">
        <x:f>C19-COGS!G12-Labour!G12-F19</x:f>
        <x:v>5987</x:v>
      </x:c>
      <x:c r="H19" s="34" t="n">
        <x:f>'Cash Flow'!J12</x:f>
        <x:v>58700</x:v>
      </x:c>
      <x:c r="I19" s="1"/>
      <x:c r="J19" s="1"/>
      <x:c r="K19" s="1"/>
      <x:c r="L19" s="1"/>
      <x:c r="M19" s="1"/>
      <x:c r="N19" s="1"/>
    </x:row>
    <x:row r="20">
      <x:c r="A20" s="1"/>
      <x:c r="B20" s="1" t="str">
        <x:v>Mar-26</x:v>
      </x:c>
      <x:c r="C20" s="34" t="n">
        <x:f>'Revenue Analysis'!C13</x:f>
        <x:v>83400</x:v>
      </x:c>
      <x:c r="D20" s="35" t="n">
        <x:f>COGS!J13</x:f>
        <x:v>0.6961390887290168</x:v>
      </x:c>
      <x:c r="E20" s="35" t="n">
        <x:f>Labour!H13</x:f>
        <x:v>0.3533453237410072</x:v>
      </x:c>
      <x:c r="F20" s="34" t="n">
        <x:f>Expenses!I19</x:f>
        <x:v>19851</x:v>
      </x:c>
      <x:c r="G20" s="34" t="n">
        <x:f>C20-COGS!G13-Labour!G13-F20</x:f>
        <x:v>8738</x:v>
      </x:c>
      <x:c r="H20" s="34" t="n">
        <x:f>'Cash Flow'!J13</x:f>
        <x:v>66600</x:v>
      </x:c>
      <x:c r="I20" s="1"/>
      <x:c r="J20" s="1"/>
      <x:c r="K20" s="1"/>
      <x:c r="L20" s="1"/>
      <x:c r="M20" s="1"/>
      <x:c r="N20" s="1"/>
    </x:row>
    <x:row r="21">
      <x:c r="A21" s="1"/>
      <x:c r="B21" s="1" t="str">
        <x:v>Apr-26</x:v>
      </x:c>
      <x:c r="C21" s="34" t="n">
        <x:f>'Revenue Analysis'!C14</x:f>
        <x:v>85600</x:v>
      </x:c>
      <x:c r="D21" s="35" t="n">
        <x:f>COGS!J14</x:f>
        <x:v>0.6967523364485981</x:v>
      </x:c>
      <x:c r="E21" s="35" t="n">
        <x:f>Labour!H14</x:f>
        <x:v>0.34626168224299064</x:v>
      </x:c>
      <x:c r="F21" s="34" t="n">
        <x:f>Expenses!J19</x:f>
        <x:v>19688</x:v>
      </x:c>
      <x:c r="G21" s="34" t="n">
        <x:f>C21-COGS!G14-Labour!G14-F21</x:f>
        <x:v>10314</x:v>
      </x:c>
      <x:c r="H21" s="34" t="n">
        <x:f>'Cash Flow'!J14</x:f>
        <x:v>75900</x:v>
      </x:c>
      <x:c r="I21" s="1"/>
      <x:c r="J21" s="1"/>
      <x:c r="K21" s="1"/>
      <x:c r="L21" s="1"/>
      <x:c r="M21" s="1"/>
      <x:c r="N21" s="1"/>
    </x:row>
    <x:row r="22">
      <x:c r="A22" s="1"/>
      <x:c r="B22" s="1" t="str">
        <x:v>May-26</x:v>
      </x:c>
      <x:c r="C22" s="34" t="n">
        <x:f>'Revenue Analysis'!C15</x:f>
        <x:v>84200</x:v>
      </x:c>
      <x:c r="D22" s="35" t="n">
        <x:f>COGS!J15</x:f>
        <x:v>0.6890498812351544</x:v>
      </x:c>
      <x:c r="E22" s="35" t="n">
        <x:f>Labour!H15</x:f>
        <x:v>0.34931116389548694</x:v>
      </x:c>
      <x:c r="F22" s="34" t="n">
        <x:f>Expenses!K19</x:f>
        <x:v>20038</x:v>
      </x:c>
      <x:c r="G22" s="34" t="n">
        <x:f>C22-COGS!G15-Labour!G15-F22</x:f>
        <x:v>8568</x:v>
      </x:c>
      <x:c r="H22" s="34" t="n">
        <x:f>'Cash Flow'!J15</x:f>
        <x:v>83450</x:v>
      </x:c>
      <x:c r="I22" s="1"/>
      <x:c r="J22" s="1"/>
      <x:c r="K22" s="1"/>
      <x:c r="L22" s="1"/>
      <x:c r="M22" s="1"/>
      <x:c r="N22" s="1"/>
    </x:row>
    <x:row r="23">
      <x:c r="A23" s="1"/>
      <x:c r="B23" s="1" t="str">
        <x:v>Jun-26</x:v>
      </x:c>
      <x:c r="C23" s="34" t="n">
        <x:f>'Revenue Analysis'!C16</x:f>
        <x:v>87100</x:v>
      </x:c>
      <x:c r="D23" s="35" t="n">
        <x:f>COGS!J16</x:f>
        <x:v>0.695556831228473</x:v>
      </x:c>
      <x:c r="E23" s="35" t="n">
        <x:f>Labour!H16</x:f>
        <x:v>0.3409529276693456</x:v>
      </x:c>
      <x:c r="F23" s="34" t="n">
        <x:f>Expenses!L19</x:f>
        <x:v>19754</x:v>
      </x:c>
      <x:c r="G23" s="34" t="n">
        <x:f>C23-COGS!G16-Labour!G16-F23</x:f>
        <x:v>11132</x:v>
      </x:c>
      <x:c r="H23" s="34" t="n">
        <x:f>'Cash Flow'!J16</x:f>
        <x:v>93900</x:v>
      </x:c>
      <x:c r="I23" s="1"/>
      <x:c r="J23" s="1"/>
      <x:c r="K23" s="1"/>
      <x:c r="L23" s="1"/>
      <x:c r="M23" s="1"/>
      <x:c r="N23" s="1"/>
    </x:row>
    <x:row r="24">
      <x:c r="A24" s="1"/>
      <x:c r="B24" s="1" t="str">
        <x:v>Jul-26</x:v>
      </x:c>
      <x:c r="C24" s="34" t="n">
        <x:f>'Revenue Analysis'!C17</x:f>
        <x:v>89500</x:v>
      </x:c>
      <x:c r="D24" s="35" t="n">
        <x:f>COGS!J17</x:f>
        <x:v>0.6986480446927374</x:v>
      </x:c>
      <x:c r="E24" s="35" t="n">
        <x:f>Labour!H17</x:f>
        <x:v>0.3349944134078212</x:v>
      </x:c>
      <x:c r="F24" s="34" t="n">
        <x:f>Expenses!M19</x:f>
        <x:v>19925</x:v>
      </x:c>
      <x:c r="G24" s="34" t="n">
        <x:f>C24-COGS!G17-Labour!G17-F24</x:f>
        <x:v>12622</x:v>
      </x:c>
      <x:c r="H24" s="34" t="n">
        <x:f>'Cash Flow'!J17</x:f>
        <x:v>105200</x:v>
      </x:c>
      <x:c r="I24" s="1"/>
      <x:c r="J24" s="1"/>
      <x:c r="K24" s="1"/>
      <x:c r="L24" s="1"/>
      <x:c r="M24" s="1"/>
      <x:c r="N24" s="1"/>
    </x:row>
    <x:row r="25">
      <x:c r="A25" s="1"/>
      <x:c r="B25" s="1" t="str">
        <x:v>Aug-26</x:v>
      </x:c>
      <x:c r="C25" s="34" t="n">
        <x:f>'Revenue Analysis'!C18</x:f>
        <x:v>91200</x:v>
      </x:c>
      <x:c r="D25" s="35" t="n">
        <x:f>COGS!J18</x:f>
        <x:v>0.7032565789473684</x:v>
      </x:c>
      <x:c r="E25" s="35" t="n">
        <x:f>Labour!H18</x:f>
        <x:v>0.33</x:v>
      </x:c>
      <x:c r="F25" s="34" t="n">
        <x:f>Expenses!N19</x:f>
        <x:v>20345</x:v>
      </x:c>
      <x:c r="G25" s="34" t="n">
        <x:f>C25-COGS!G18-Labour!G18-F25</x:f>
        <x:v>13696</x:v>
      </x:c>
      <x:c r="H25" s="34" t="n">
        <x:f>'Cash Flow'!J18</x:f>
        <x:v>117250</x:v>
      </x:c>
      <x:c r="I25" s="1"/>
      <x:c r="J25" s="1"/>
      <x:c r="K25" s="1"/>
      <x:c r="L25" s="1"/>
      <x:c r="M25" s="1"/>
      <x:c r="N25" s="1"/>
    </x:row>
    <x:row r="26">
      <x:c r="A26" s="1"/>
      <x:c r="B26" s="1" t="str">
        <x:v>Sep-26</x:v>
      </x:c>
      <x:c r="C26" s="34" t="n">
        <x:f>'Revenue Analysis'!C19</x:f>
        <x:v>93800</x:v>
      </x:c>
      <x:c r="D26" s="35" t="n">
        <x:f>COGS!J19</x:f>
        <x:v>0.7080063965884862</x:v>
      </x:c>
      <x:c r="E26" s="35" t="n">
        <x:f>Labour!H19</x:f>
        <x:v>0.3232835820895522</x:v>
      </x:c>
      <x:c r="F26" s="34" t="n">
        <x:f>Expenses!O19</x:f>
        <x:v>20405</x:v>
      </x:c>
      <x:c r="G26" s="34" t="n">
        <x:f>C26-COGS!G19-Labour!G19-F26</x:f>
        <x:v>15682</x:v>
      </x:c>
      <x:c r="H26" s="34" t="n">
        <x:f>'Cash Flow'!J19</x:f>
        <x:v>130450</x:v>
      </x:c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8" t="str">
        <x:v>Priority actions</x:v>
      </x:c>
      <x:c r="C29" s="9"/>
      <x:c r="D29" s="9"/>
      <x:c r="E29" s="9"/>
      <x:c r="F29" s="9"/>
      <x:c r="G29" s="9"/>
      <x:c r="H29" s="10"/>
      <x:c r="I29" s="1"/>
      <x:c r="J29" s="1"/>
      <x:c r="K29" s="1"/>
      <x:c r="L29" s="1"/>
      <x:c r="M29" s="1"/>
      <x:c r="N29" s="1"/>
    </x:row>
    <x:row r="30" ht="24" customHeight="1">
      <x:c r="A30" s="1"/>
      <x:c r="B30" s="15" t="str">
        <x:v>Priority</x:v>
      </x:c>
      <x:c r="C30" s="16" t="str">
        <x:v>Action</x:v>
      </x:c>
      <x:c r="D30" s="16" t="str">
        <x:v>Monthly impact</x:v>
      </x:c>
      <x:c r="E30" s="16" t="str">
        <x:v>Timing</x:v>
      </x:c>
      <x:c r="F30" s="16" t="str">
        <x:v>Owner</x:v>
      </x:c>
      <x:c r="G30" s="16" t="str">
        <x:v>Status</x:v>
      </x:c>
      <x:c r="H30" s="17" t="str">
        <x:v>Measure</x:v>
      </x:c>
      <x:c r="I30" s="1"/>
      <x:c r="J30" s="1"/>
      <x:c r="K30" s="1"/>
      <x:c r="L30" s="1"/>
      <x:c r="M30" s="1"/>
      <x:c r="N30" s="1"/>
    </x:row>
    <x:row r="31">
      <x:c r="A31" s="1"/>
      <x:c r="B31" s="60" t="n">
        <x:f>Recommendations!B8</x:f>
        <x:v>1</x:v>
      </x:c>
      <x:c r="C31" s="61" t="str">
        <x:f>Recommendations!C8</x:f>
        <x:v>Reprice or redesign low-margin food items</x:v>
      </x:c>
      <x:c r="D31" s="62" t="n">
        <x:f>Recommendations!E8</x:f>
        <x:v>1600</x:v>
      </x:c>
      <x:c r="E31" s="61" t="str">
        <x:f>Recommendations!G8</x:f>
        <x:v>0-30 days</x:v>
      </x:c>
      <x:c r="F31" s="61" t="str">
        <x:f>Recommendations!H8</x:f>
        <x:v>Owner</x:v>
      </x:c>
      <x:c r="G31" s="61" t="str">
        <x:f>Recommendations!I8</x:f>
        <x:v>Planned</x:v>
      </x:c>
      <x:c r="H31" s="63" t="str">
        <x:f>Recommendations!J8</x:f>
        <x:v>Contribution margin by item</x:v>
      </x:c>
      <x:c r="I31" s="1"/>
      <x:c r="J31" s="1"/>
      <x:c r="K31" s="1"/>
      <x:c r="L31" s="1"/>
      <x:c r="M31" s="1"/>
      <x:c r="N31" s="1"/>
    </x:row>
    <x:row r="32">
      <x:c r="A32" s="1"/>
      <x:c r="B32" s="64" t="n">
        <x:f>Recommendations!B9</x:f>
        <x:v>2</x:v>
      </x:c>
      <x:c r="C32" s="65" t="str">
        <x:f>Recommendations!C9</x:f>
        <x:v>Reduce overtime and rebalance roster</x:v>
      </x:c>
      <x:c r="D32" s="66" t="n">
        <x:f>Recommendations!E9</x:f>
        <x:v>1250</x:v>
      </x:c>
      <x:c r="E32" s="65" t="str">
        <x:f>Recommendations!G9</x:f>
        <x:v>0-30 days</x:v>
      </x:c>
      <x:c r="F32" s="65" t="str">
        <x:f>Recommendations!H9</x:f>
        <x:v>Manager</x:v>
      </x:c>
      <x:c r="G32" s="65" t="str">
        <x:f>Recommendations!I9</x:f>
        <x:v>Planned</x:v>
      </x:c>
      <x:c r="H32" s="67" t="str">
        <x:f>Recommendations!J9</x:f>
        <x:v>Labour % and overtime</x:v>
      </x:c>
      <x:c r="I32" s="1"/>
      <x:c r="J32" s="1"/>
      <x:c r="K32" s="1"/>
      <x:c r="L32" s="1"/>
      <x:c r="M32" s="1"/>
      <x:c r="N32" s="1"/>
    </x:row>
    <x:row r="33">
      <x:c r="A33" s="1"/>
      <x:c r="B33" s="64" t="n">
        <x:f>Recommendations!B10</x:f>
        <x:v>3</x:v>
      </x:c>
      <x:c r="C33" s="65" t="str">
        <x:f>Recommendations!C10</x:f>
        <x:v>Renegotiate top ingredient suppliers</x:v>
      </x:c>
      <x:c r="D33" s="66" t="n">
        <x:f>Recommendations!E10</x:f>
        <x:v>900</x:v>
      </x:c>
      <x:c r="E33" s="65" t="str">
        <x:f>Recommendations!G10</x:f>
        <x:v>30-60 days</x:v>
      </x:c>
      <x:c r="F33" s="65" t="str">
        <x:f>Recommendations!H10</x:f>
        <x:v>Owner</x:v>
      </x:c>
      <x:c r="G33" s="65" t="str">
        <x:f>Recommendations!I10</x:f>
        <x:v>Not started</x:v>
      </x:c>
      <x:c r="H33" s="67" t="str">
        <x:f>Recommendations!J10</x:f>
        <x:v>COGS %</x:v>
      </x:c>
      <x:c r="I33" s="1"/>
      <x:c r="J33" s="1"/>
      <x:c r="K33" s="1"/>
      <x:c r="L33" s="1"/>
      <x:c r="M33" s="1"/>
      <x:c r="N33" s="1"/>
    </x:row>
    <x:row r="34">
      <x:c r="A34" s="1"/>
      <x:c r="B34" s="64" t="n">
        <x:f>Recommendations!B11</x:f>
        <x:v>4</x:v>
      </x:c>
      <x:c r="C34" s="65" t="str">
        <x:f>Recommendations!C11</x:f>
        <x:v>Tighten ordering and waste controls</x:v>
      </x:c>
      <x:c r="D34" s="66" t="n">
        <x:f>Recommendations!E11</x:f>
        <x:v>650</x:v>
      </x:c>
      <x:c r="E34" s="65" t="str">
        <x:f>Recommendations!G11</x:f>
        <x:v>30-60 days</x:v>
      </x:c>
      <x:c r="F34" s="65" t="str">
        <x:f>Recommendations!H11</x:f>
        <x:v>Kitchen lead</x:v>
      </x:c>
      <x:c r="G34" s="65" t="str">
        <x:f>Recommendations!I11</x:f>
        <x:v>Not started</x:v>
      </x:c>
      <x:c r="H34" s="67" t="str">
        <x:f>Recommendations!J11</x:f>
        <x:v>Waste % and stock variance</x:v>
      </x:c>
      <x:c r="I34" s="1"/>
      <x:c r="J34" s="1"/>
      <x:c r="K34" s="1"/>
      <x:c r="L34" s="1"/>
      <x:c r="M34" s="1"/>
      <x:c r="N34" s="1"/>
    </x:row>
    <x:row r="35">
      <x:c r="A35" s="1"/>
      <x:c r="B35" s="68" t="n">
        <x:f>Recommendations!B12</x:f>
        <x:v>5</x:v>
      </x:c>
      <x:c r="C35" s="69" t="str">
        <x:f>Recommendations!C12</x:f>
        <x:v>Review subscriptions and merchant fees</x:v>
      </x:c>
      <x:c r="D35" s="70" t="n">
        <x:f>Recommendations!E12</x:f>
        <x:v>350</x:v>
      </x:c>
      <x:c r="E35" s="69" t="str">
        <x:f>Recommendations!G12</x:f>
        <x:v>0-30 days</x:v>
      </x:c>
      <x:c r="F35" s="69" t="str">
        <x:f>Recommendations!H12</x:f>
        <x:v>Owner</x:v>
      </x:c>
      <x:c r="G35" s="69" t="str">
        <x:f>Recommendations!I12</x:f>
        <x:v>Not started</x:v>
      </x:c>
      <x:c r="H35" s="71" t="str">
        <x:f>Recommendations!J12</x:f>
        <x:v>Operating expense %</x:v>
      </x:c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pageMargins left="0.7" right="0.7" top="0.75" bottom="0.75" header="0.3" footer="0.3"/>
  <x:drawing xmlns:r="http://schemas.openxmlformats.org/officeDocument/2006/relationships" r:id="Rf54851a8c604456c"/>
</x:worksheet>
</file>

<file path=xl/worksheets/sheet2.xml><?xml version="1.0" encoding="utf-8"?>
<x:worksheet xmlns:x="http://schemas.openxmlformats.org/spreadsheetml/2006/main">
  <x:sheetPr>
    <x:tabColor rgb="FF2F6F6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2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Revenue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>
      <x:c r="A4" s="5" t="str">
        <x:v>Illustrative monthly POS data. Blue/yellow cells are fictional inputs; formulas are black.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1"/>
      <x:c r="B6" s="8" t="str">
        <x:v>Monthly sales and transaction analysis</x:v>
      </x:c>
      <x:c r="C6" s="9"/>
      <x:c r="D6" s="9"/>
      <x:c r="E6" s="9"/>
      <x:c r="F6" s="9"/>
      <x:c r="G6" s="9"/>
      <x:c r="H6" s="9"/>
      <x:c r="I6" s="9"/>
      <x:c r="J6" s="9"/>
      <x:c r="K6" s="10"/>
    </x:row>
    <x:row r="7" ht="24" customHeight="1">
      <x:c r="A7" s="1"/>
      <x:c r="B7" s="15" t="str">
        <x:v>Month</x:v>
      </x:c>
      <x:c r="C7" s="16" t="str">
        <x:v>Sales</x:v>
      </x:c>
      <x:c r="D7" s="16" t="str">
        <x:v>Transactions</x:v>
      </x:c>
      <x:c r="E7" s="16" t="str">
        <x:v>Average ticket</x:v>
      </x:c>
      <x:c r="F7" s="16" t="str">
        <x:v>Growth</x:v>
      </x:c>
      <x:c r="G7" s="16" t="str">
        <x:v>Beverages</x:v>
      </x:c>
      <x:c r="H7" s="16" t="str">
        <x:v>Food</x:v>
      </x:c>
      <x:c r="I7" s="16" t="str">
        <x:v>Retail</x:v>
      </x:c>
      <x:c r="J7" s="16" t="str">
        <x:v>Mix check</x:v>
      </x:c>
      <x:c r="K7" s="17" t="str">
        <x:v>Sales / day</x:v>
      </x:c>
    </x:row>
    <x:row r="8">
      <x:c r="A8" s="1"/>
      <x:c r="B8" s="19" t="str">
        <x:v>Oct-25</x:v>
      </x:c>
      <x:c r="C8" s="23" t="n">
        <x:v>73500</x:v>
      </x:c>
      <x:c r="D8" s="25" t="n">
        <x:v>6125</x:v>
      </x:c>
      <x:c r="E8" s="27" t="n">
        <x:f>C8/D8</x:f>
        <x:v>12</x:v>
      </x:c>
      <x:c r="F8" s="29"/>
      <x:c r="G8" s="23" t="n">
        <x:v>44100</x:v>
      </x:c>
      <x:c r="H8" s="23" t="n">
        <x:v>25725</x:v>
      </x:c>
      <x:c r="I8" s="23" t="n">
        <x:v>3675</x:v>
      </x:c>
      <x:c r="J8" s="31" t="n">
        <x:f>SUM(G8:I8)-C8</x:f>
        <x:v>0</x:v>
      </x:c>
      <x:c r="K8" s="31" t="n">
        <x:f>C8/30.4</x:f>
        <x:v>2417.763157894737</x:v>
      </x:c>
    </x:row>
    <x:row r="9">
      <x:c r="A9" s="1"/>
      <x:c r="B9" s="19" t="str">
        <x:v>Nov-25</x:v>
      </x:c>
      <x:c r="C9" s="23" t="n">
        <x:v>75200</x:v>
      </x:c>
      <x:c r="D9" s="25" t="n">
        <x:v>6215</x:v>
      </x:c>
      <x:c r="E9" s="27" t="n">
        <x:f>C9/D9</x:f>
        <x:v>12.099758648431214</x:v>
      </x:c>
      <x:c r="F9" s="29" t="n">
        <x:f>C9/C8-1</x:f>
        <x:v>0.023129251700680253</x:v>
      </x:c>
      <x:c r="G9" s="23" t="n">
        <x:v>45120</x:v>
      </x:c>
      <x:c r="H9" s="23" t="n">
        <x:v>26320</x:v>
      </x:c>
      <x:c r="I9" s="23" t="n">
        <x:v>3760</x:v>
      </x:c>
      <x:c r="J9" s="31" t="n">
        <x:f>SUM(G9:I9)-C9</x:f>
        <x:v>0</x:v>
      </x:c>
      <x:c r="K9" s="31" t="n">
        <x:f>C9/30.4</x:f>
        <x:v>2473.684210526316</x:v>
      </x:c>
    </x:row>
    <x:row r="10">
      <x:c r="A10" s="1"/>
      <x:c r="B10" s="19" t="str">
        <x:v>Dec-25</x:v>
      </x:c>
      <x:c r="C10" s="23" t="n">
        <x:v>78100</x:v>
      </x:c>
      <x:c r="D10" s="25" t="n">
        <x:v>6360</x:v>
      </x:c>
      <x:c r="E10" s="27" t="n">
        <x:f>C10/D10</x:f>
        <x:v>12.279874213836479</x:v>
      </x:c>
      <x:c r="F10" s="29" t="n">
        <x:f>C10/C9-1</x:f>
        <x:v>0.03856382978723394</x:v>
      </x:c>
      <x:c r="G10" s="23" t="n">
        <x:v>46860</x:v>
      </x:c>
      <x:c r="H10" s="23" t="n">
        <x:v>27335</x:v>
      </x:c>
      <x:c r="I10" s="23" t="n">
        <x:v>3905</x:v>
      </x:c>
      <x:c r="J10" s="31" t="n">
        <x:f>SUM(G10:I10)-C10</x:f>
        <x:v>0</x:v>
      </x:c>
      <x:c r="K10" s="31" t="n">
        <x:f>C10/30.4</x:f>
        <x:v>2569.0789473684213</x:v>
      </x:c>
    </x:row>
    <x:row r="11">
      <x:c r="A11" s="1"/>
      <x:c r="B11" s="19" t="str">
        <x:v>Jan-26</x:v>
      </x:c>
      <x:c r="C11" s="23" t="n">
        <x:v>81200</x:v>
      </x:c>
      <x:c r="D11" s="25" t="n">
        <x:v>6550</x:v>
      </x:c>
      <x:c r="E11" s="27" t="n">
        <x:f>C11/D11</x:f>
        <x:v>12.396946564885496</x:v>
      </x:c>
      <x:c r="F11" s="29" t="n">
        <x:f>C11/C10-1</x:f>
        <x:v>0.03969270166453276</x:v>
      </x:c>
      <x:c r="G11" s="23" t="n">
        <x:v>48720</x:v>
      </x:c>
      <x:c r="H11" s="23" t="n">
        <x:v>28420</x:v>
      </x:c>
      <x:c r="I11" s="23" t="n">
        <x:v>4060</x:v>
      </x:c>
      <x:c r="J11" s="31" t="n">
        <x:f>SUM(G11:I11)-C11</x:f>
        <x:v>0</x:v>
      </x:c>
      <x:c r="K11" s="31" t="n">
        <x:f>C11/30.4</x:f>
        <x:v>2671.0526315789475</x:v>
      </x:c>
    </x:row>
    <x:row r="12">
      <x:c r="A12" s="1"/>
      <x:c r="B12" s="19" t="str">
        <x:v>Feb-26</x:v>
      </x:c>
      <x:c r="C12" s="23" t="n">
        <x:v>79500</x:v>
      </x:c>
      <x:c r="D12" s="25" t="n">
        <x:v>6400</x:v>
      </x:c>
      <x:c r="E12" s="27" t="n">
        <x:f>C12/D12</x:f>
        <x:v>12.421875</x:v>
      </x:c>
      <x:c r="F12" s="29" t="n">
        <x:f>C12/C11-1</x:f>
        <x:v>-0.020935960591133007</x:v>
      </x:c>
      <x:c r="G12" s="23" t="n">
        <x:v>47700</x:v>
      </x:c>
      <x:c r="H12" s="23" t="n">
        <x:v>27825</x:v>
      </x:c>
      <x:c r="I12" s="23" t="n">
        <x:v>3975</x:v>
      </x:c>
      <x:c r="J12" s="31" t="n">
        <x:f>SUM(G12:I12)-C12</x:f>
        <x:v>0</x:v>
      </x:c>
      <x:c r="K12" s="31" t="n">
        <x:f>C12/30.4</x:f>
        <x:v>2615.1315789473683</x:v>
      </x:c>
    </x:row>
    <x:row r="13">
      <x:c r="A13" s="1"/>
      <x:c r="B13" s="19" t="str">
        <x:v>Mar-26</x:v>
      </x:c>
      <x:c r="C13" s="23" t="n">
        <x:v>83400</x:v>
      </x:c>
      <x:c r="D13" s="25" t="n">
        <x:v>6650</x:v>
      </x:c>
      <x:c r="E13" s="27" t="n">
        <x:f>C13/D13</x:f>
        <x:v>12.541353383458647</x:v>
      </x:c>
      <x:c r="F13" s="29" t="n">
        <x:f>C13/C12-1</x:f>
        <x:v>0.049056603773584895</x:v>
      </x:c>
      <x:c r="G13" s="23" t="n">
        <x:v>50040</x:v>
      </x:c>
      <x:c r="H13" s="23" t="n">
        <x:v>29190</x:v>
      </x:c>
      <x:c r="I13" s="23" t="n">
        <x:v>4170</x:v>
      </x:c>
      <x:c r="J13" s="31" t="n">
        <x:f>SUM(G13:I13)-C13</x:f>
        <x:v>0</x:v>
      </x:c>
      <x:c r="K13" s="31" t="n">
        <x:f>C13/30.4</x:f>
        <x:v>2743.421052631579</x:v>
      </x:c>
    </x:row>
    <x:row r="14">
      <x:c r="A14" s="1"/>
      <x:c r="B14" s="19" t="str">
        <x:v>Apr-26</x:v>
      </x:c>
      <x:c r="C14" s="23" t="n">
        <x:v>85600</x:v>
      </x:c>
      <x:c r="D14" s="25" t="n">
        <x:v>6770</x:v>
      </x:c>
      <x:c r="E14" s="27" t="n">
        <x:f>C14/D14</x:f>
        <x:v>12.644017725258493</x:v>
      </x:c>
      <x:c r="F14" s="29" t="n">
        <x:f>C14/C13-1</x:f>
        <x:v>0.026378896882494063</x:v>
      </x:c>
      <x:c r="G14" s="23" t="n">
        <x:v>51360</x:v>
      </x:c>
      <x:c r="H14" s="23" t="n">
        <x:v>29960</x:v>
      </x:c>
      <x:c r="I14" s="23" t="n">
        <x:v>4280</x:v>
      </x:c>
      <x:c r="J14" s="31" t="n">
        <x:f>SUM(G14:I14)-C14</x:f>
        <x:v>0</x:v>
      </x:c>
      <x:c r="K14" s="31" t="n">
        <x:f>C14/30.4</x:f>
        <x:v>2815.789473684211</x:v>
      </x:c>
    </x:row>
    <x:row r="15">
      <x:c r="A15" s="1"/>
      <x:c r="B15" s="19" t="str">
        <x:v>May-26</x:v>
      </x:c>
      <x:c r="C15" s="23" t="n">
        <x:v>84200</x:v>
      </x:c>
      <x:c r="D15" s="25" t="n">
        <x:v>6610</x:v>
      </x:c>
      <x:c r="E15" s="27" t="n">
        <x:f>C15/D15</x:f>
        <x:v>12.738275340393344</x:v>
      </x:c>
      <x:c r="F15" s="29" t="n">
        <x:f>C15/C14-1</x:f>
        <x:v>-0.016355140186915862</x:v>
      </x:c>
      <x:c r="G15" s="23" t="n">
        <x:v>50520</x:v>
      </x:c>
      <x:c r="H15" s="23" t="n">
        <x:v>29470</x:v>
      </x:c>
      <x:c r="I15" s="23" t="n">
        <x:v>4210</x:v>
      </x:c>
      <x:c r="J15" s="31" t="n">
        <x:f>SUM(G15:I15)-C15</x:f>
        <x:v>0</x:v>
      </x:c>
      <x:c r="K15" s="31" t="n">
        <x:f>C15/30.4</x:f>
        <x:v>2769.7368421052633</x:v>
      </x:c>
    </x:row>
    <x:row r="16">
      <x:c r="A16" s="1"/>
      <x:c r="B16" s="19" t="str">
        <x:v>Jun-26</x:v>
      </x:c>
      <x:c r="C16" s="23" t="n">
        <x:v>87100</x:v>
      </x:c>
      <x:c r="D16" s="25" t="n">
        <x:v>6790</x:v>
      </x:c>
      <x:c r="E16" s="27" t="n">
        <x:f>C16/D16</x:f>
        <x:v>12.827687776141385</x:v>
      </x:c>
      <x:c r="F16" s="29" t="n">
        <x:f>C16/C15-1</x:f>
        <x:v>0.03444180522565321</x:v>
      </x:c>
      <x:c r="G16" s="23" t="n">
        <x:v>52260</x:v>
      </x:c>
      <x:c r="H16" s="23" t="n">
        <x:v>30485</x:v>
      </x:c>
      <x:c r="I16" s="23" t="n">
        <x:v>4355</x:v>
      </x:c>
      <x:c r="J16" s="31" t="n">
        <x:f>SUM(G16:I16)-C16</x:f>
        <x:v>0</x:v>
      </x:c>
      <x:c r="K16" s="31" t="n">
        <x:f>C16/30.4</x:f>
        <x:v>2865.131578947369</x:v>
      </x:c>
    </x:row>
    <x:row r="17">
      <x:c r="A17" s="1"/>
      <x:c r="B17" s="19" t="str">
        <x:v>Jul-26</x:v>
      </x:c>
      <x:c r="C17" s="23" t="n">
        <x:v>89500</x:v>
      </x:c>
      <x:c r="D17" s="25" t="n">
        <x:v>6925</x:v>
      </x:c>
      <x:c r="E17" s="27" t="n">
        <x:f>C17/D17</x:f>
        <x:v>12.92418772563177</x:v>
      </x:c>
      <x:c r="F17" s="29" t="n">
        <x:f>C17/C16-1</x:f>
        <x:v>0.027554535017221493</x:v>
      </x:c>
      <x:c r="G17" s="23" t="n">
        <x:v>53700</x:v>
      </x:c>
      <x:c r="H17" s="23" t="n">
        <x:v>31325</x:v>
      </x:c>
      <x:c r="I17" s="23" t="n">
        <x:v>4475</x:v>
      </x:c>
      <x:c r="J17" s="31" t="n">
        <x:f>SUM(G17:I17)-C17</x:f>
        <x:v>0</x:v>
      </x:c>
      <x:c r="K17" s="31" t="n">
        <x:f>C17/30.4</x:f>
        <x:v>2944.0789473684213</x:v>
      </x:c>
    </x:row>
    <x:row r="18">
      <x:c r="A18" s="1"/>
      <x:c r="B18" s="19" t="str">
        <x:v>Aug-26</x:v>
      </x:c>
      <x:c r="C18" s="23" t="n">
        <x:v>91200</x:v>
      </x:c>
      <x:c r="D18" s="25" t="n">
        <x:v>7015</x:v>
      </x:c>
      <x:c r="E18" s="27" t="n">
        <x:f>C18/D18</x:f>
        <x:v>13.000712758374911</x:v>
      </x:c>
      <x:c r="F18" s="29" t="n">
        <x:f>C18/C17-1</x:f>
        <x:v>0.018994413407821265</x:v>
      </x:c>
      <x:c r="G18" s="23" t="n">
        <x:v>54720</x:v>
      </x:c>
      <x:c r="H18" s="23" t="n">
        <x:v>31920</x:v>
      </x:c>
      <x:c r="I18" s="23" t="n">
        <x:v>4560</x:v>
      </x:c>
      <x:c r="J18" s="31" t="n">
        <x:f>SUM(G18:I18)-C18</x:f>
        <x:v>0</x:v>
      </x:c>
      <x:c r="K18" s="31" t="n">
        <x:f>C18/30.4</x:f>
        <x:v>3000</x:v>
      </x:c>
    </x:row>
    <x:row r="19">
      <x:c r="A19" s="1"/>
      <x:c r="B19" s="19" t="str">
        <x:v>Sep-26</x:v>
      </x:c>
      <x:c r="C19" s="23" t="n">
        <x:v>93800</x:v>
      </x:c>
      <x:c r="D19" s="25" t="n">
        <x:v>7160</x:v>
      </x:c>
      <x:c r="E19" s="27" t="n">
        <x:f>C19/D19</x:f>
        <x:v>13.100558659217876</x:v>
      </x:c>
      <x:c r="F19" s="29" t="n">
        <x:f>C19/C18-1</x:f>
        <x:v>0.028508771929824483</x:v>
      </x:c>
      <x:c r="G19" s="23" t="n">
        <x:v>56280</x:v>
      </x:c>
      <x:c r="H19" s="23" t="n">
        <x:v>32830</x:v>
      </x:c>
      <x:c r="I19" s="23" t="n">
        <x:v>4690</x:v>
      </x:c>
      <x:c r="J19" s="31" t="n">
        <x:f>SUM(G19:I19)-C19</x:f>
        <x:v>0</x:v>
      </x:c>
      <x:c r="K19" s="31" t="n">
        <x:f>C19/30.4</x:f>
        <x:v>3085.5263157894738</x:v>
      </x:c>
    </x:row>
    <x:row r="20">
      <x:c r="A20" s="1"/>
      <x:c r="B20" s="22" t="str">
        <x:v>12-month total / average</x:v>
      </x:c>
      <x:c r="C20" s="24" t="n">
        <x:f>SUM(C8:C19)</x:f>
        <x:v>1002300</x:v>
      </x:c>
      <x:c r="D20" s="26" t="n">
        <x:f>SUM(D8:D19)</x:f>
        <x:v>79570</x:v>
      </x:c>
      <x:c r="E20" s="28" t="n">
        <x:f>C20/D20</x:f>
        <x:v>12.596455950735201</x:v>
      </x:c>
      <x:c r="F20" s="30" t="n">
        <x:f>C19/C8-1</x:f>
        <x:v>0.2761904761904761</x:v>
      </x:c>
      <x:c r="G20" s="24" t="n">
        <x:f>SUM(G8:G19)</x:f>
        <x:v>601380</x:v>
      </x:c>
      <x:c r="H20" s="24" t="n">
        <x:f>SUM(H8:H19)</x:f>
        <x:v>350805</x:v>
      </x:c>
      <x:c r="I20" s="24" t="n">
        <x:f>SUM(I8:I19)</x:f>
        <x:v>50115</x:v>
      </x:c>
      <x:c r="J20" s="24" t="n">
        <x:f>SUM(J8:J19)</x:f>
        <x:v>0</x:v>
      </x:c>
      <x:c r="K20" s="24" t="n">
        <x:f>AVERAGE(K8:K19)</x:f>
        <x:v>2747.532894736842</x:v>
      </x:c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pageMargins left="0.7" right="0.7" top="0.75" bottom="0.75" header="0.3" footer="0.3"/>
  <x:drawing xmlns:r="http://schemas.openxmlformats.org/officeDocument/2006/relationships" r:id="R584619df33874434"/>
</x:worksheet>
</file>

<file path=xl/worksheets/sheet3.xml><?xml version="1.0" encoding="utf-8"?>
<x:worksheet xmlns:x="http://schemas.openxmlformats.org/spreadsheetml/2006/main">
  <x:sheetPr>
    <x:tabColor rgb="FF2F6F6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2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COGS and Gross Margin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5" t="str">
        <x:v>Illustrative ingredient and packaging costs by month.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/>
      <x:c r="B6" s="8" t="str">
        <x:v>Gross margin schedule</x:v>
      </x:c>
      <x:c r="C6" s="9"/>
      <x:c r="D6" s="9"/>
      <x:c r="E6" s="9"/>
      <x:c r="F6" s="9"/>
      <x:c r="G6" s="9"/>
      <x:c r="H6" s="9"/>
      <x:c r="I6" s="9"/>
      <x:c r="J6" s="10"/>
    </x:row>
    <x:row r="7" ht="24" customHeight="1">
      <x:c r="A7" s="1"/>
      <x:c r="B7" s="15" t="str">
        <x:v>Month</x:v>
      </x:c>
      <x:c r="C7" s="16" t="str">
        <x:v>Revenue</x:v>
      </x:c>
      <x:c r="D7" s="16" t="str">
        <x:v>Beverage COGS</x:v>
      </x:c>
      <x:c r="E7" s="16" t="str">
        <x:v>Food COGS</x:v>
      </x:c>
      <x:c r="F7" s="16" t="str">
        <x:v>Packaging</x:v>
      </x:c>
      <x:c r="G7" s="16" t="str">
        <x:v>Total COGS</x:v>
      </x:c>
      <x:c r="H7" s="16" t="str">
        <x:v>COGS %</x:v>
      </x:c>
      <x:c r="I7" s="16" t="str">
        <x:v>Gross profit</x:v>
      </x:c>
      <x:c r="J7" s="17" t="str">
        <x:v>Gross margin</x:v>
      </x:c>
    </x:row>
    <x:row r="8">
      <x:c r="A8" s="1"/>
      <x:c r="B8" s="19" t="str">
        <x:v>Oct-25</x:v>
      </x:c>
      <x:c r="C8" s="33" t="n">
        <x:f>'Revenue Analysis'!C8</x:f>
        <x:v>73500</x:v>
      </x:c>
      <x:c r="D8" s="23" t="n">
        <x:v>11907</x:v>
      </x:c>
      <x:c r="E8" s="23" t="n">
        <x:v>9132</x:v>
      </x:c>
      <x:c r="F8" s="23" t="n">
        <x:v>1470</x:v>
      </x:c>
      <x:c r="G8" s="34" t="n">
        <x:f>SUM(D8:F8)</x:f>
        <x:v>22509</x:v>
      </x:c>
      <x:c r="H8" s="35" t="n">
        <x:f>G8/C8</x:f>
        <x:v>0.3062448979591837</x:v>
      </x:c>
      <x:c r="I8" s="34" t="n">
        <x:f>C8-G8</x:f>
        <x:v>50991</x:v>
      </x:c>
      <x:c r="J8" s="35" t="n">
        <x:f>I8/C8</x:f>
        <x:v>0.6937551020408164</x:v>
      </x:c>
    </x:row>
    <x:row r="9">
      <x:c r="A9" s="1"/>
      <x:c r="B9" s="19" t="str">
        <x:v>Nov-25</x:v>
      </x:c>
      <x:c r="C9" s="33" t="n">
        <x:f>'Revenue Analysis'!C9</x:f>
        <x:v>75200</x:v>
      </x:c>
      <x:c r="D9" s="23" t="n">
        <x:v>12259</x:v>
      </x:c>
      <x:c r="E9" s="23" t="n">
        <x:v>9475</x:v>
      </x:c>
      <x:c r="F9" s="23" t="n">
        <x:v>1504</x:v>
      </x:c>
      <x:c r="G9" s="34" t="n">
        <x:f>SUM(D9:F9)</x:f>
        <x:v>23238</x:v>
      </x:c>
      <x:c r="H9" s="35" t="n">
        <x:f>G9/C9</x:f>
        <x:v>0.3090159574468085</x:v>
      </x:c>
      <x:c r="I9" s="34" t="n">
        <x:f>C9-G9</x:f>
        <x:v>51962</x:v>
      </x:c>
      <x:c r="J9" s="35" t="n">
        <x:f>I9/C9</x:f>
        <x:v>0.6909840425531915</x:v>
      </x:c>
    </x:row>
    <x:row r="10">
      <x:c r="A10" s="1"/>
      <x:c r="B10" s="19" t="str">
        <x:v>Dec-25</x:v>
      </x:c>
      <x:c r="C10" s="33" t="n">
        <x:f>'Revenue Analysis'!C10</x:f>
        <x:v>78100</x:v>
      </x:c>
      <x:c r="D10" s="23" t="n">
        <x:v>12652</x:v>
      </x:c>
      <x:c r="E10" s="23" t="n">
        <x:v>9704</x:v>
      </x:c>
      <x:c r="F10" s="23" t="n">
        <x:v>1562</x:v>
      </x:c>
      <x:c r="G10" s="34" t="n">
        <x:f>SUM(D10:F10)</x:f>
        <x:v>23918</x:v>
      </x:c>
      <x:c r="H10" s="35" t="n">
        <x:f>G10/C10</x:f>
        <x:v>0.3062483994878361</x:v>
      </x:c>
      <x:c r="I10" s="34" t="n">
        <x:f>C10-G10</x:f>
        <x:v>54182</x:v>
      </x:c>
      <x:c r="J10" s="35" t="n">
        <x:f>I10/C10</x:f>
        <x:v>0.6937516005121639</x:v>
      </x:c>
    </x:row>
    <x:row r="11">
      <x:c r="A11" s="1"/>
      <x:c r="B11" s="19" t="str">
        <x:v>Jan-26</x:v>
      </x:c>
      <x:c r="C11" s="33" t="n">
        <x:f>'Revenue Analysis'!C11</x:f>
        <x:v>81200</x:v>
      </x:c>
      <x:c r="D11" s="23" t="n">
        <x:v>12959</x:v>
      </x:c>
      <x:c r="E11" s="23" t="n">
        <x:v>10117</x:v>
      </x:c>
      <x:c r="F11" s="23" t="n">
        <x:v>1624</x:v>
      </x:c>
      <x:c r="G11" s="34" t="n">
        <x:f>SUM(D11:F11)</x:f>
        <x:v>24700</x:v>
      </x:c>
      <x:c r="H11" s="35" t="n">
        <x:f>G11/C11</x:f>
        <x:v>0.3041871921182266</x:v>
      </x:c>
      <x:c r="I11" s="34" t="n">
        <x:f>C11-G11</x:f>
        <x:v>56500</x:v>
      </x:c>
      <x:c r="J11" s="35" t="n">
        <x:f>I11/C11</x:f>
        <x:v>0.6958128078817734</x:v>
      </x:c>
    </x:row>
    <x:row r="12">
      <x:c r="A12" s="1"/>
      <x:c r="B12" s="19" t="str">
        <x:v>Feb-26</x:v>
      </x:c>
      <x:c r="C12" s="33" t="n">
        <x:f>'Revenue Analysis'!C12</x:f>
        <x:v>79500</x:v>
      </x:c>
      <x:c r="D12" s="23" t="n">
        <x:v>13070</x:v>
      </x:c>
      <x:c r="E12" s="23" t="n">
        <x:v>10156</x:v>
      </x:c>
      <x:c r="F12" s="23" t="n">
        <x:v>1590</x:v>
      </x:c>
      <x:c r="G12" s="34" t="n">
        <x:f>SUM(D12:F12)</x:f>
        <x:v>24816</x:v>
      </x:c>
      <x:c r="H12" s="35" t="n">
        <x:f>G12/C12</x:f>
        <x:v>0.3121509433962264</x:v>
      </x:c>
      <x:c r="I12" s="34" t="n">
        <x:f>C12-G12</x:f>
        <x:v>54684</x:v>
      </x:c>
      <x:c r="J12" s="35" t="n">
        <x:f>I12/C12</x:f>
        <x:v>0.6878490566037736</x:v>
      </x:c>
    </x:row>
    <x:row r="13">
      <x:c r="A13" s="1"/>
      <x:c r="B13" s="19" t="str">
        <x:v>Mar-26</x:v>
      </x:c>
      <x:c r="C13" s="33" t="n">
        <x:f>'Revenue Analysis'!C13</x:f>
        <x:v>83400</x:v>
      </x:c>
      <x:c r="D13" s="23" t="n">
        <x:v>13311</x:v>
      </x:c>
      <x:c r="E13" s="23" t="n">
        <x:v>10363</x:v>
      </x:c>
      <x:c r="F13" s="23" t="n">
        <x:v>1668</x:v>
      </x:c>
      <x:c r="G13" s="34" t="n">
        <x:f>SUM(D13:F13)</x:f>
        <x:v>25342</x:v>
      </x:c>
      <x:c r="H13" s="35" t="n">
        <x:f>G13/C13</x:f>
        <x:v>0.3038609112709832</x:v>
      </x:c>
      <x:c r="I13" s="34" t="n">
        <x:f>C13-G13</x:f>
        <x:v>58058</x:v>
      </x:c>
      <x:c r="J13" s="35" t="n">
        <x:f>I13/C13</x:f>
        <x:v>0.6961390887290168</x:v>
      </x:c>
    </x:row>
    <x:row r="14">
      <x:c r="A14" s="1"/>
      <x:c r="B14" s="19" t="str">
        <x:v>Apr-26</x:v>
      </x:c>
      <x:c r="C14" s="33" t="n">
        <x:f>'Revenue Analysis'!C14</x:f>
        <x:v>85600</x:v>
      </x:c>
      <x:c r="D14" s="23" t="n">
        <x:v>13610</x:v>
      </x:c>
      <x:c r="E14" s="23" t="n">
        <x:v>10636</x:v>
      </x:c>
      <x:c r="F14" s="23" t="n">
        <x:v>1712</x:v>
      </x:c>
      <x:c r="G14" s="34" t="n">
        <x:f>SUM(D14:F14)</x:f>
        <x:v>25958</x:v>
      </x:c>
      <x:c r="H14" s="35" t="n">
        <x:f>G14/C14</x:f>
        <x:v>0.30324766355140187</x:v>
      </x:c>
      <x:c r="I14" s="34" t="n">
        <x:f>C14-G14</x:f>
        <x:v>59642</x:v>
      </x:c>
      <x:c r="J14" s="35" t="n">
        <x:f>I14/C14</x:f>
        <x:v>0.6967523364485981</x:v>
      </x:c>
    </x:row>
    <x:row r="15">
      <x:c r="A15" s="1"/>
      <x:c r="B15" s="19" t="str">
        <x:v>May-26</x:v>
      </x:c>
      <x:c r="C15" s="33" t="n">
        <x:f>'Revenue Analysis'!C15</x:f>
        <x:v>84200</x:v>
      </x:c>
      <x:c r="D15" s="23" t="n">
        <x:v>13742</x:v>
      </x:c>
      <x:c r="E15" s="23" t="n">
        <x:v>10756</x:v>
      </x:c>
      <x:c r="F15" s="23" t="n">
        <x:v>1684</x:v>
      </x:c>
      <x:c r="G15" s="34" t="n">
        <x:f>SUM(D15:F15)</x:f>
        <x:v>26182</x:v>
      </x:c>
      <x:c r="H15" s="35" t="n">
        <x:f>G15/C15</x:f>
        <x:v>0.31095011876484563</x:v>
      </x:c>
      <x:c r="I15" s="34" t="n">
        <x:f>C15-G15</x:f>
        <x:v>58018</x:v>
      </x:c>
      <x:c r="J15" s="35" t="n">
        <x:f>I15/C15</x:f>
        <x:v>0.6890498812351544</x:v>
      </x:c>
    </x:row>
    <x:row r="16">
      <x:c r="A16" s="1"/>
      <x:c r="B16" s="19" t="str">
        <x:v>Jun-26</x:v>
      </x:c>
      <x:c r="C16" s="33" t="n">
        <x:f>'Revenue Analysis'!C16</x:f>
        <x:v>87100</x:v>
      </x:c>
      <x:c r="D16" s="23" t="n">
        <x:v>13953</x:v>
      </x:c>
      <x:c r="E16" s="23" t="n">
        <x:v>10822</x:v>
      </x:c>
      <x:c r="F16" s="23" t="n">
        <x:v>1742</x:v>
      </x:c>
      <x:c r="G16" s="34" t="n">
        <x:f>SUM(D16:F16)</x:f>
        <x:v>26517</x:v>
      </x:c>
      <x:c r="H16" s="35" t="n">
        <x:f>G16/C16</x:f>
        <x:v>0.304443168771527</x:v>
      </x:c>
      <x:c r="I16" s="34" t="n">
        <x:f>C16-G16</x:f>
        <x:v>60583</x:v>
      </x:c>
      <x:c r="J16" s="35" t="n">
        <x:f>I16/C16</x:f>
        <x:v>0.695556831228473</x:v>
      </x:c>
    </x:row>
    <x:row r="17">
      <x:c r="A17" s="1"/>
      <x:c r="B17" s="19" t="str">
        <x:v>Jul-26</x:v>
      </x:c>
      <x:c r="C17" s="33" t="n">
        <x:f>'Revenue Analysis'!C17</x:f>
        <x:v>89500</x:v>
      </x:c>
      <x:c r="D17" s="23" t="n">
        <x:v>14177</x:v>
      </x:c>
      <x:c r="E17" s="23" t="n">
        <x:v>11004</x:v>
      </x:c>
      <x:c r="F17" s="23" t="n">
        <x:v>1790</x:v>
      </x:c>
      <x:c r="G17" s="34" t="n">
        <x:f>SUM(D17:F17)</x:f>
        <x:v>26971</x:v>
      </x:c>
      <x:c r="H17" s="35" t="n">
        <x:f>G17/C17</x:f>
        <x:v>0.30135195530726255</x:v>
      </x:c>
      <x:c r="I17" s="34" t="n">
        <x:f>C17-G17</x:f>
        <x:v>62529</x:v>
      </x:c>
      <x:c r="J17" s="35" t="n">
        <x:f>I17/C17</x:f>
        <x:v>0.6986480446927374</x:v>
      </x:c>
    </x:row>
    <x:row r="18">
      <x:c r="A18" s="1"/>
      <x:c r="B18" s="19" t="str">
        <x:v>Aug-26</x:v>
      </x:c>
      <x:c r="C18" s="33" t="n">
        <x:f>'Revenue Analysis'!C18</x:f>
        <x:v>91200</x:v>
      </x:c>
      <x:c r="D18" s="23" t="n">
        <x:v>14227</x:v>
      </x:c>
      <x:c r="E18" s="23" t="n">
        <x:v>11012</x:v>
      </x:c>
      <x:c r="F18" s="23" t="n">
        <x:v>1824</x:v>
      </x:c>
      <x:c r="G18" s="34" t="n">
        <x:f>SUM(D18:F18)</x:f>
        <x:v>27063</x:v>
      </x:c>
      <x:c r="H18" s="35" t="n">
        <x:f>G18/C18</x:f>
        <x:v>0.2967434210526316</x:v>
      </x:c>
      <x:c r="I18" s="34" t="n">
        <x:f>C18-G18</x:f>
        <x:v>64137</x:v>
      </x:c>
      <x:c r="J18" s="35" t="n">
        <x:f>I18/C18</x:f>
        <x:v>0.7032565789473684</x:v>
      </x:c>
    </x:row>
    <x:row r="19">
      <x:c r="A19" s="1"/>
      <x:c r="B19" s="19" t="str">
        <x:v>Sep-26</x:v>
      </x:c>
      <x:c r="C19" s="33" t="n">
        <x:f>'Revenue Analysis'!C19</x:f>
        <x:v>93800</x:v>
      </x:c>
      <x:c r="D19" s="23" t="n">
        <x:v>14351</x:v>
      </x:c>
      <x:c r="E19" s="23" t="n">
        <x:v>11162</x:v>
      </x:c>
      <x:c r="F19" s="23" t="n">
        <x:v>1876</x:v>
      </x:c>
      <x:c r="G19" s="34" t="n">
        <x:f>SUM(D19:F19)</x:f>
        <x:v>27389</x:v>
      </x:c>
      <x:c r="H19" s="35" t="n">
        <x:f>G19/C19</x:f>
        <x:v>0.29199360341151387</x:v>
      </x:c>
      <x:c r="I19" s="34" t="n">
        <x:f>C19-G19</x:f>
        <x:v>66411</x:v>
      </x:c>
      <x:c r="J19" s="35" t="n">
        <x:f>I19/C19</x:f>
        <x:v>0.7080063965884862</x:v>
      </x:c>
    </x:row>
    <x:row r="20">
      <x:c r="A20" s="1"/>
      <x:c r="B20" s="22" t="str">
        <x:v>12-month total / margin</x:v>
      </x:c>
      <x:c r="C20" s="24" t="n">
        <x:f>SUM(C8:C19)</x:f>
        <x:v>1002300</x:v>
      </x:c>
      <x:c r="D20" s="24" t="n">
        <x:f>SUM(D8:D19)</x:f>
        <x:v>160218</x:v>
      </x:c>
      <x:c r="E20" s="24" t="n">
        <x:f>SUM(E8:E19)</x:f>
        <x:v>124339</x:v>
      </x:c>
      <x:c r="F20" s="24" t="n">
        <x:f>SUM(F8:F19)</x:f>
        <x:v>20046</x:v>
      </x:c>
      <x:c r="G20" s="24" t="n">
        <x:f>SUM(G8:G19)</x:f>
        <x:v>304603</x:v>
      </x:c>
      <x:c r="H20" s="30" t="n">
        <x:f>G20/C20</x:f>
        <x:v>0.3039040207522698</x:v>
      </x:c>
      <x:c r="I20" s="24" t="n">
        <x:f>SUM(I8:I19)</x:f>
        <x:v>697697</x:v>
      </x:c>
      <x:c r="J20" s="30" t="n">
        <x:f>I20/C20</x:f>
        <x:v>0.6960959792477303</x:v>
      </x:c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6F6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2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Labour Analysis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5" t="str">
        <x:v>Illustrative payroll and roster inputs. Labour includes wages, overtime and payroll on-costs.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/>
      <x:c r="B6" s="8" t="str">
        <x:v>Labour cost and productivity</x:v>
      </x:c>
      <x:c r="C6" s="9"/>
      <x:c r="D6" s="9"/>
      <x:c r="E6" s="9"/>
      <x:c r="F6" s="9"/>
      <x:c r="G6" s="9"/>
      <x:c r="H6" s="9"/>
      <x:c r="I6" s="9"/>
      <x:c r="J6" s="10"/>
    </x:row>
    <x:row r="7" ht="24" customHeight="1">
      <x:c r="A7" s="1"/>
      <x:c r="B7" s="15" t="str">
        <x:v>Month</x:v>
      </x:c>
      <x:c r="C7" s="16" t="str">
        <x:v>Revenue</x:v>
      </x:c>
      <x:c r="D7" s="16" t="str">
        <x:v>Regular wages</x:v>
      </x:c>
      <x:c r="E7" s="16" t="str">
        <x:v>Overtime</x:v>
      </x:c>
      <x:c r="F7" s="16" t="str">
        <x:v>On-costs</x:v>
      </x:c>
      <x:c r="G7" s="16" t="str">
        <x:v>Total labour</x:v>
      </x:c>
      <x:c r="H7" s="16" t="str">
        <x:v>Labour %</x:v>
      </x:c>
      <x:c r="I7" s="16" t="str">
        <x:v>Labour hours</x:v>
      </x:c>
      <x:c r="J7" s="17" t="str">
        <x:v>Sales / labour hour</x:v>
      </x:c>
    </x:row>
    <x:row r="8">
      <x:c r="A8" s="1"/>
      <x:c r="B8" s="19" t="str">
        <x:v>Oct-25</x:v>
      </x:c>
      <x:c r="C8" s="33" t="n">
        <x:f>'Revenue Analysis'!C8</x:f>
        <x:v>73500</x:v>
      </x:c>
      <x:c r="D8" s="23" t="n">
        <x:v>21400</x:v>
      </x:c>
      <x:c r="E8" s="23" t="n">
        <x:v>1950</x:v>
      </x:c>
      <x:c r="F8" s="23" t="n">
        <x:v>3270</x:v>
      </x:c>
      <x:c r="G8" s="34" t="n">
        <x:f>SUM(D8:F8)</x:f>
        <x:v>26620</x:v>
      </x:c>
      <x:c r="H8" s="35" t="n">
        <x:f>G8/C8</x:f>
        <x:v>0.3621768707482993</x:v>
      </x:c>
      <x:c r="I8" s="25" t="n">
        <x:v>1890</x:v>
      </x:c>
      <x:c r="J8" s="36" t="n">
        <x:f>C8/I8</x:f>
        <x:v>38.888888888888886</x:v>
      </x:c>
    </x:row>
    <x:row r="9">
      <x:c r="A9" s="1"/>
      <x:c r="B9" s="19" t="str">
        <x:v>Nov-25</x:v>
      </x:c>
      <x:c r="C9" s="33" t="n">
        <x:f>'Revenue Analysis'!C9</x:f>
        <x:v>75200</x:v>
      </x:c>
      <x:c r="D9" s="23" t="n">
        <x:v>21850</x:v>
      </x:c>
      <x:c r="E9" s="23" t="n">
        <x:v>2050</x:v>
      </x:c>
      <x:c r="F9" s="23" t="n">
        <x:v>3348</x:v>
      </x:c>
      <x:c r="G9" s="34" t="n">
        <x:f>SUM(D9:F9)</x:f>
        <x:v>27248</x:v>
      </x:c>
      <x:c r="H9" s="35" t="n">
        <x:f>G9/C9</x:f>
        <x:v>0.36234042553191487</x:v>
      </x:c>
      <x:c r="I9" s="25" t="n">
        <x:v>1925</x:v>
      </x:c>
      <x:c r="J9" s="36" t="n">
        <x:f>C9/I9</x:f>
        <x:v>39.064935064935064</x:v>
      </x:c>
    </x:row>
    <x:row r="10">
      <x:c r="A10" s="1"/>
      <x:c r="B10" s="19" t="str">
        <x:v>Dec-25</x:v>
      </x:c>
      <x:c r="C10" s="33" t="n">
        <x:f>'Revenue Analysis'!C10</x:f>
        <x:v>78100</x:v>
      </x:c>
      <x:c r="D10" s="23" t="n">
        <x:v>22400</x:v>
      </x:c>
      <x:c r="E10" s="23" t="n">
        <x:v>2200</x:v>
      </x:c>
      <x:c r="F10" s="23" t="n">
        <x:v>3444</x:v>
      </x:c>
      <x:c r="G10" s="34" t="n">
        <x:f>SUM(D10:F10)</x:f>
        <x:v>28044</x:v>
      </x:c>
      <x:c r="H10" s="35" t="n">
        <x:f>G10/C10</x:f>
        <x:v>0.35907810499359794</x:v>
      </x:c>
      <x:c r="I10" s="25" t="n">
        <x:v>1985</x:v>
      </x:c>
      <x:c r="J10" s="36" t="n">
        <x:f>C10/I10</x:f>
        <x:v>39.34508816120907</x:v>
      </x:c>
    </x:row>
    <x:row r="11">
      <x:c r="A11" s="1"/>
      <x:c r="B11" s="19" t="str">
        <x:v>Jan-26</x:v>
      </x:c>
      <x:c r="C11" s="33" t="n">
        <x:f>'Revenue Analysis'!C11</x:f>
        <x:v>81200</x:v>
      </x:c>
      <x:c r="D11" s="23" t="n">
        <x:v>22800</x:v>
      </x:c>
      <x:c r="E11" s="23" t="n">
        <x:v>2400</x:v>
      </x:c>
      <x:c r="F11" s="23" t="n">
        <x:v>3528</x:v>
      </x:c>
      <x:c r="G11" s="34" t="n">
        <x:f>SUM(D11:F11)</x:f>
        <x:v>28728</x:v>
      </x:c>
      <x:c r="H11" s="35" t="n">
        <x:f>G11/C11</x:f>
        <x:v>0.35379310344827586</x:v>
      </x:c>
      <x:c r="I11" s="25" t="n">
        <x:v>2030</x:v>
      </x:c>
      <x:c r="J11" s="36" t="n">
        <x:f>C11/I11</x:f>
        <x:v>40</x:v>
      </x:c>
    </x:row>
    <x:row r="12">
      <x:c r="A12" s="1"/>
      <x:c r="B12" s="19" t="str">
        <x:v>Feb-26</x:v>
      </x:c>
      <x:c r="C12" s="33" t="n">
        <x:f>'Revenue Analysis'!C12</x:f>
        <x:v>79500</x:v>
      </x:c>
      <x:c r="D12" s="23" t="n">
        <x:v>23000</x:v>
      </x:c>
      <x:c r="E12" s="23" t="n">
        <x:v>2550</x:v>
      </x:c>
      <x:c r="F12" s="23" t="n">
        <x:v>3577</x:v>
      </x:c>
      <x:c r="G12" s="34" t="n">
        <x:f>SUM(D12:F12)</x:f>
        <x:v>29127</x:v>
      </x:c>
      <x:c r="H12" s="35" t="n">
        <x:f>G12/C12</x:f>
        <x:v>0.366377358490566</x:v>
      </x:c>
      <x:c r="I12" s="25" t="n">
        <x:v>2055</x:v>
      </x:c>
      <x:c r="J12" s="36" t="n">
        <x:f>C12/I12</x:f>
        <x:v>38.68613138686131</x:v>
      </x:c>
    </x:row>
    <x:row r="13">
      <x:c r="A13" s="1"/>
      <x:c r="B13" s="19" t="str">
        <x:v>Mar-26</x:v>
      </x:c>
      <x:c r="C13" s="33" t="n">
        <x:f>'Revenue Analysis'!C13</x:f>
        <x:v>83400</x:v>
      </x:c>
      <x:c r="D13" s="23" t="n">
        <x:v>23550</x:v>
      </x:c>
      <x:c r="E13" s="23" t="n">
        <x:v>2300</x:v>
      </x:c>
      <x:c r="F13" s="23" t="n">
        <x:v>3619</x:v>
      </x:c>
      <x:c r="G13" s="34" t="n">
        <x:f>SUM(D13:F13)</x:f>
        <x:v>29469</x:v>
      </x:c>
      <x:c r="H13" s="35" t="n">
        <x:f>G13/C13</x:f>
        <x:v>0.3533453237410072</x:v>
      </x:c>
      <x:c r="I13" s="25" t="n">
        <x:v>2070</x:v>
      </x:c>
      <x:c r="J13" s="36" t="n">
        <x:f>C13/I13</x:f>
        <x:v>40.289855072463766</x:v>
      </x:c>
    </x:row>
    <x:row r="14">
      <x:c r="A14" s="1"/>
      <x:c r="B14" s="19" t="str">
        <x:v>Apr-26</x:v>
      </x:c>
      <x:c r="C14" s="33" t="n">
        <x:f>'Revenue Analysis'!C14</x:f>
        <x:v>85600</x:v>
      </x:c>
      <x:c r="D14" s="23" t="n">
        <x:v>23800</x:v>
      </x:c>
      <x:c r="E14" s="23" t="n">
        <x:v>2200</x:v>
      </x:c>
      <x:c r="F14" s="23" t="n">
        <x:v>3640</x:v>
      </x:c>
      <x:c r="G14" s="34" t="n">
        <x:f>SUM(D14:F14)</x:f>
        <x:v>29640</x:v>
      </x:c>
      <x:c r="H14" s="35" t="n">
        <x:f>G14/C14</x:f>
        <x:v>0.34626168224299064</x:v>
      </x:c>
      <x:c r="I14" s="25" t="n">
        <x:v>2090</x:v>
      </x:c>
      <x:c r="J14" s="36" t="n">
        <x:f>C14/I14</x:f>
        <x:v>40.95693779904306</x:v>
      </x:c>
    </x:row>
    <x:row r="15">
      <x:c r="A15" s="1"/>
      <x:c r="B15" s="19" t="str">
        <x:v>May-26</x:v>
      </x:c>
      <x:c r="C15" s="33" t="n">
        <x:f>'Revenue Analysis'!C15</x:f>
        <x:v>84200</x:v>
      </x:c>
      <x:c r="D15" s="23" t="n">
        <x:v>23650</x:v>
      </x:c>
      <x:c r="E15" s="23" t="n">
        <x:v>2150</x:v>
      </x:c>
      <x:c r="F15" s="23" t="n">
        <x:v>3612</x:v>
      </x:c>
      <x:c r="G15" s="34" t="n">
        <x:f>SUM(D15:F15)</x:f>
        <x:v>29412</x:v>
      </x:c>
      <x:c r="H15" s="35" t="n">
        <x:f>G15/C15</x:f>
        <x:v>0.34931116389548694</x:v>
      </x:c>
      <x:c r="I15" s="25" t="n">
        <x:v>2075</x:v>
      </x:c>
      <x:c r="J15" s="36" t="n">
        <x:f>C15/I15</x:f>
        <x:v>40.57831325301205</x:v>
      </x:c>
    </x:row>
    <x:row r="16">
      <x:c r="A16" s="1"/>
      <x:c r="B16" s="19" t="str">
        <x:v>Jun-26</x:v>
      </x:c>
      <x:c r="C16" s="33" t="n">
        <x:f>'Revenue Analysis'!C16</x:f>
        <x:v>87100</x:v>
      </x:c>
      <x:c r="D16" s="23" t="n">
        <x:v>24000</x:v>
      </x:c>
      <x:c r="E16" s="23" t="n">
        <x:v>2050</x:v>
      </x:c>
      <x:c r="F16" s="23" t="n">
        <x:v>3647</x:v>
      </x:c>
      <x:c r="G16" s="34" t="n">
        <x:f>SUM(D16:F16)</x:f>
        <x:v>29697</x:v>
      </x:c>
      <x:c r="H16" s="35" t="n">
        <x:f>G16/C16</x:f>
        <x:v>0.3409529276693456</x:v>
      </x:c>
      <x:c r="I16" s="25" t="n">
        <x:v>2100</x:v>
      </x:c>
      <x:c r="J16" s="36" t="n">
        <x:f>C16/I16</x:f>
        <x:v>41.476190476190474</x:v>
      </x:c>
    </x:row>
    <x:row r="17">
      <x:c r="A17" s="1"/>
      <x:c r="B17" s="19" t="str">
        <x:v>Jul-26</x:v>
      </x:c>
      <x:c r="C17" s="33" t="n">
        <x:f>'Revenue Analysis'!C17</x:f>
        <x:v>89500</x:v>
      </x:c>
      <x:c r="D17" s="23" t="n">
        <x:v>24350</x:v>
      </x:c>
      <x:c r="E17" s="23" t="n">
        <x:v>1950</x:v>
      </x:c>
      <x:c r="F17" s="23" t="n">
        <x:v>3682</x:v>
      </x:c>
      <x:c r="G17" s="34" t="n">
        <x:f>SUM(D17:F17)</x:f>
        <x:v>29982</x:v>
      </x:c>
      <x:c r="H17" s="35" t="n">
        <x:f>G17/C17</x:f>
        <x:v>0.3349944134078212</x:v>
      </x:c>
      <x:c r="I17" s="25" t="n">
        <x:v>2110</x:v>
      </x:c>
      <x:c r="J17" s="36" t="n">
        <x:f>C17/I17</x:f>
        <x:v>42.41706161137441</x:v>
      </x:c>
    </x:row>
    <x:row r="18">
      <x:c r="A18" s="1"/>
      <x:c r="B18" s="19" t="str">
        <x:v>Aug-26</x:v>
      </x:c>
      <x:c r="C18" s="33" t="n">
        <x:f>'Revenue Analysis'!C18</x:f>
        <x:v>91200</x:v>
      </x:c>
      <x:c r="D18" s="23" t="n">
        <x:v>24600</x:v>
      </x:c>
      <x:c r="E18" s="23" t="n">
        <x:v>1800</x:v>
      </x:c>
      <x:c r="F18" s="23" t="n">
        <x:v>3696</x:v>
      </x:c>
      <x:c r="G18" s="34" t="n">
        <x:f>SUM(D18:F18)</x:f>
        <x:v>30096</x:v>
      </x:c>
      <x:c r="H18" s="35" t="n">
        <x:f>G18/C18</x:f>
        <x:v>0.33</x:v>
      </x:c>
      <x:c r="I18" s="25" t="n">
        <x:v>2125</x:v>
      </x:c>
      <x:c r="J18" s="36" t="n">
        <x:f>C18/I18</x:f>
        <x:v>42.917647058823526</x:v>
      </x:c>
    </x:row>
    <x:row r="19">
      <x:c r="A19" s="1"/>
      <x:c r="B19" s="19" t="str">
        <x:v>Sep-26</x:v>
      </x:c>
      <x:c r="C19" s="33" t="n">
        <x:f>'Revenue Analysis'!C19</x:f>
        <x:v>93800</x:v>
      </x:c>
      <x:c r="D19" s="23" t="n">
        <x:v>24900</x:v>
      </x:c>
      <x:c r="E19" s="23" t="n">
        <x:v>1700</x:v>
      </x:c>
      <x:c r="F19" s="23" t="n">
        <x:v>3724</x:v>
      </x:c>
      <x:c r="G19" s="34" t="n">
        <x:f>SUM(D19:F19)</x:f>
        <x:v>30324</x:v>
      </x:c>
      <x:c r="H19" s="35" t="n">
        <x:f>G19/C19</x:f>
        <x:v>0.3232835820895522</x:v>
      </x:c>
      <x:c r="I19" s="25" t="n">
        <x:v>2140</x:v>
      </x:c>
      <x:c r="J19" s="36" t="n">
        <x:f>C19/I19</x:f>
        <x:v>43.83177570093458</x:v>
      </x:c>
    </x:row>
    <x:row r="20">
      <x:c r="A20" s="1"/>
      <x:c r="B20" s="22" t="str">
        <x:v>12-month total / ratio</x:v>
      </x:c>
      <x:c r="C20" s="24" t="n">
        <x:f>SUM(C8:C19)</x:f>
        <x:v>1002300</x:v>
      </x:c>
      <x:c r="D20" s="24" t="n">
        <x:f>SUM(D8:D19)</x:f>
        <x:v>280300</x:v>
      </x:c>
      <x:c r="E20" s="24" t="n">
        <x:f>SUM(E8:E19)</x:f>
        <x:v>25300</x:v>
      </x:c>
      <x:c r="F20" s="24" t="n">
        <x:f>SUM(F8:F19)</x:f>
        <x:v>42787</x:v>
      </x:c>
      <x:c r="G20" s="24" t="n">
        <x:f>SUM(G8:G19)</x:f>
        <x:v>348387</x:v>
      </x:c>
      <x:c r="H20" s="30" t="n">
        <x:f>G20/C20</x:f>
        <x:v>0.3475875486381323</x:v>
      </x:c>
      <x:c r="I20" s="26" t="n">
        <x:f>SUM(I8:I19)</x:f>
        <x:v>24595</x:v>
      </x:c>
      <x:c r="J20" s="28" t="n">
        <x:f>C20/I20</x:f>
        <x:v>40.752185403537304</x:v>
      </x:c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F6F6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8" hidden="0" customWidth="1"/>
    <x:col min="10" max="10" width="15" hidden="0" customWidth="1"/>
    <x:col min="11" max="11" width="15" hidden="0" customWidth="1"/>
    <x:col min="12" max="12" width="20" hidden="0" customWidth="1"/>
    <x:col min="13" max="13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Menu Profitability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A4" s="5" t="str">
        <x:v>Illustrative one-month menu mix. Recipe costs exclude labour and fixed overhead.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>
      <x:c r="A6" s="1"/>
      <x:c r="B6" s="8" t="str">
        <x:v>Item contribution analysis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10"/>
    </x:row>
    <x:row r="7" ht="24" customHeight="1">
      <x:c r="A7" s="1"/>
      <x:c r="B7" s="15" t="str">
        <x:v>Item</x:v>
      </x:c>
      <x:c r="C7" s="16" t="str">
        <x:v>Category</x:v>
      </x:c>
      <x:c r="D7" s="16" t="str">
        <x:v>Price</x:v>
      </x:c>
      <x:c r="E7" s="16" t="str">
        <x:v>Units sold</x:v>
      </x:c>
      <x:c r="F7" s="16" t="str">
        <x:v>Ingredient cost</x:v>
      </x:c>
      <x:c r="G7" s="16" t="str">
        <x:v>Packaging</x:v>
      </x:c>
      <x:c r="H7" s="16" t="str">
        <x:v>Variable cost</x:v>
      </x:c>
      <x:c r="I7" s="16" t="str">
        <x:v>Contribution / item</x:v>
      </x:c>
      <x:c r="J7" s="16" t="str">
        <x:v>Contribution %</x:v>
      </x:c>
      <x:c r="K7" s="16" t="str">
        <x:v>Sales</x:v>
      </x:c>
      <x:c r="L7" s="16" t="str">
        <x:v>Monthly contribution</x:v>
      </x:c>
      <x:c r="M7" s="17" t="str">
        <x:v>Sales mix</x:v>
      </x:c>
    </x:row>
    <x:row r="8">
      <x:c r="A8" s="1"/>
      <x:c r="B8" s="19" t="str">
        <x:v>Flat White</x:v>
      </x:c>
      <x:c r="C8" s="19" t="str">
        <x:v>Beverage</x:v>
      </x:c>
      <x:c r="D8" s="37" t="n">
        <x:v>5.5</x:v>
      </x:c>
      <x:c r="E8" s="25" t="n">
        <x:v>2250</x:v>
      </x:c>
      <x:c r="F8" s="37" t="n">
        <x:v>1.18</x:v>
      </x:c>
      <x:c r="G8" s="37" t="n">
        <x:v>0.22</x:v>
      </x:c>
      <x:c r="H8" s="36" t="n">
        <x:f>F8+G8</x:f>
        <x:v>1.4</x:v>
      </x:c>
      <x:c r="I8" s="36" t="n">
        <x:f>D8-H8</x:f>
        <x:v>4.1</x:v>
      </x:c>
      <x:c r="J8" s="35" t="n">
        <x:f>I8/D8</x:f>
        <x:v>0.7454545454545454</x:v>
      </x:c>
      <x:c r="K8" s="34" t="n">
        <x:f>D8*E8</x:f>
        <x:v>12375</x:v>
      </x:c>
      <x:c r="L8" s="34" t="n">
        <x:f>I8*E8</x:f>
        <x:v>9225</x:v>
      </x:c>
      <x:c r="M8" s="35" t="n">
        <x:f>K8/SUM($K$8:$K$19)</x:f>
        <x:v>0.19540810687047008</x:v>
      </x:c>
    </x:row>
    <x:row r="9">
      <x:c r="A9" s="1"/>
      <x:c r="B9" s="19" t="str">
        <x:v>Long Black</x:v>
      </x:c>
      <x:c r="C9" s="19" t="str">
        <x:v>Beverage</x:v>
      </x:c>
      <x:c r="D9" s="37" t="n">
        <x:v>4.8</x:v>
      </x:c>
      <x:c r="E9" s="25" t="n">
        <x:v>1420</x:v>
      </x:c>
      <x:c r="F9" s="37" t="n">
        <x:v>0.82</x:v>
      </x:c>
      <x:c r="G9" s="37" t="n">
        <x:v>0.2</x:v>
      </x:c>
      <x:c r="H9" s="36" t="n">
        <x:f>F9+G9</x:f>
        <x:v>1.02</x:v>
      </x:c>
      <x:c r="I9" s="36" t="n">
        <x:f>D9-H9</x:f>
        <x:v>3.78</x:v>
      </x:c>
      <x:c r="J9" s="35" t="n">
        <x:f>I9/D9</x:f>
        <x:v>0.7875</x:v>
      </x:c>
      <x:c r="K9" s="34" t="n">
        <x:f>D9*E9</x:f>
        <x:v>6816</x:v>
      </x:c>
      <x:c r="L9" s="34" t="n">
        <x:f>I9*E9</x:f>
        <x:v>5367.599999999999</x:v>
      </x:c>
      <x:c r="M9" s="35" t="n">
        <x:f>K9/SUM($K$8:$K$19)</x:f>
        <x:v>0.10762841668114134</x:v>
      </x:c>
    </x:row>
    <x:row r="10">
      <x:c r="A10" s="1"/>
      <x:c r="B10" s="19" t="str">
        <x:v>Iced Latte</x:v>
      </x:c>
      <x:c r="C10" s="19" t="str">
        <x:v>Beverage</x:v>
      </x:c>
      <x:c r="D10" s="37" t="n">
        <x:v>6.5</x:v>
      </x:c>
      <x:c r="E10" s="25" t="n">
        <x:v>910</x:v>
      </x:c>
      <x:c r="F10" s="37" t="n">
        <x:v>1.62</x:v>
      </x:c>
      <x:c r="G10" s="37" t="n">
        <x:v>0.34</x:v>
      </x:c>
      <x:c r="H10" s="36" t="n">
        <x:f>F10+G10</x:f>
        <x:v>1.9600000000000002</x:v>
      </x:c>
      <x:c r="I10" s="36" t="n">
        <x:f>D10-H10</x:f>
        <x:v>4.54</x:v>
      </x:c>
      <x:c r="J10" s="35" t="n">
        <x:f>I10/D10</x:f>
        <x:v>0.6984615384615385</x:v>
      </x:c>
      <x:c r="K10" s="34" t="n">
        <x:f>D10*E10</x:f>
        <x:v>5915</x:v>
      </x:c>
      <x:c r="L10" s="34" t="n">
        <x:f>I10*E10</x:f>
        <x:v>4131.4</x:v>
      </x:c>
      <x:c r="M10" s="35" t="n">
        <x:f>K10/SUM($K$8:$K$19)</x:f>
        <x:v>0.09340112744556206</x:v>
      </x:c>
    </x:row>
    <x:row r="11">
      <x:c r="A11" s="1"/>
      <x:c r="B11" s="19" t="str">
        <x:v>Chai Latte</x:v>
      </x:c>
      <x:c r="C11" s="19" t="str">
        <x:v>Beverage</x:v>
      </x:c>
      <x:c r="D11" s="37" t="n">
        <x:v>6.2</x:v>
      </x:c>
      <x:c r="E11" s="25" t="n">
        <x:v>520</x:v>
      </x:c>
      <x:c r="F11" s="37" t="n">
        <x:v>1.78</x:v>
      </x:c>
      <x:c r="G11" s="37" t="n">
        <x:v>0.24</x:v>
      </x:c>
      <x:c r="H11" s="36" t="n">
        <x:f>F11+G11</x:f>
        <x:v>2.02</x:v>
      </x:c>
      <x:c r="I11" s="36" t="n">
        <x:f>D11-H11</x:f>
        <x:v>4.18</x:v>
      </x:c>
      <x:c r="J11" s="35" t="n">
        <x:f>I11/D11</x:f>
        <x:v>0.6741935483870967</x:v>
      </x:c>
      <x:c r="K11" s="34" t="n">
        <x:f>D11*E11</x:f>
        <x:v>3224</x:v>
      </x:c>
      <x:c r="L11" s="34" t="n">
        <x:f>I11*E11</x:f>
        <x:v>2173.6</x:v>
      </x:c>
      <x:c r="M11" s="35" t="n">
        <x:f>K11/SUM($K$8:$K$19)</x:f>
        <x:v>0.05090874638791075</x:v>
      </x:c>
    </x:row>
    <x:row r="12">
      <x:c r="A12" s="1"/>
      <x:c r="B12" s="19" t="str">
        <x:v>Avocado Toast</x:v>
      </x:c>
      <x:c r="C12" s="19" t="str">
        <x:v>Food</x:v>
      </x:c>
      <x:c r="D12" s="37" t="n">
        <x:v>15.5</x:v>
      </x:c>
      <x:c r="E12" s="25" t="n">
        <x:v>480</x:v>
      </x:c>
      <x:c r="F12" s="37" t="n">
        <x:v>5.65</x:v>
      </x:c>
      <x:c r="G12" s="37" t="n">
        <x:v>0.35</x:v>
      </x:c>
      <x:c r="H12" s="36" t="n">
        <x:f>F12+G12</x:f>
        <x:v>6</x:v>
      </x:c>
      <x:c r="I12" s="36" t="n">
        <x:f>D12-H12</x:f>
        <x:v>9.5</x:v>
      </x:c>
      <x:c r="J12" s="35" t="n">
        <x:f>I12/D12</x:f>
        <x:v>0.6129032258064516</x:v>
      </x:c>
      <x:c r="K12" s="34" t="n">
        <x:f>D12*E12</x:f>
        <x:v>7440</x:v>
      </x:c>
      <x:c r="L12" s="34" t="n">
        <x:f>I12*E12</x:f>
        <x:v>4560</x:v>
      </x:c>
      <x:c r="M12" s="35" t="n">
        <x:f>K12/SUM($K$8:$K$19)</x:f>
        <x:v>0.11748172243364019</x:v>
      </x:c>
    </x:row>
    <x:row r="13">
      <x:c r="A13" s="1"/>
      <x:c r="B13" s="19" t="str">
        <x:v>Egg &amp; Bacon Roll</x:v>
      </x:c>
      <x:c r="C13" s="19" t="str">
        <x:v>Food</x:v>
      </x:c>
      <x:c r="D13" s="37" t="n">
        <x:v>13</x:v>
      </x:c>
      <x:c r="E13" s="25" t="n">
        <x:v>620</x:v>
      </x:c>
      <x:c r="F13" s="37" t="n">
        <x:v>4.55</x:v>
      </x:c>
      <x:c r="G13" s="37" t="n">
        <x:v>0.32</x:v>
      </x:c>
      <x:c r="H13" s="36" t="n">
        <x:f>F13+G13</x:f>
        <x:v>4.87</x:v>
      </x:c>
      <x:c r="I13" s="36" t="n">
        <x:f>D13-H13</x:f>
        <x:v>8.129999999999999</x:v>
      </x:c>
      <x:c r="J13" s="35" t="n">
        <x:f>I13/D13</x:f>
        <x:v>0.6253846153846153</x:v>
      </x:c>
      <x:c r="K13" s="34" t="n">
        <x:f>D13*E13</x:f>
        <x:v>8060</x:v>
      </x:c>
      <x:c r="L13" s="34" t="n">
        <x:f>I13*E13</x:f>
        <x:v>5040.599999999999</x:v>
      </x:c>
      <x:c r="M13" s="35" t="n">
        <x:f>K13/SUM($K$8:$K$19)</x:f>
        <x:v>0.12727186596977688</x:v>
      </x:c>
    </x:row>
    <x:row r="14">
      <x:c r="A14" s="1"/>
      <x:c r="B14" s="19" t="str">
        <x:v>Chicken Sandwich</x:v>
      </x:c>
      <x:c r="C14" s="19" t="str">
        <x:v>Food</x:v>
      </x:c>
      <x:c r="D14" s="37" t="n">
        <x:v>14.5</x:v>
      </x:c>
      <x:c r="E14" s="25" t="n">
        <x:v>410</x:v>
      </x:c>
      <x:c r="F14" s="37" t="n">
        <x:v>5.72</x:v>
      </x:c>
      <x:c r="G14" s="37" t="n">
        <x:v>0.38</x:v>
      </x:c>
      <x:c r="H14" s="36" t="n">
        <x:f>F14+G14</x:f>
        <x:v>6.1</x:v>
      </x:c>
      <x:c r="I14" s="36" t="n">
        <x:f>D14-H14</x:f>
        <x:v>8.4</x:v>
      </x:c>
      <x:c r="J14" s="35" t="n">
        <x:f>I14/D14</x:f>
        <x:v>0.5793103448275863</x:v>
      </x:c>
      <x:c r="K14" s="34" t="n">
        <x:f>D14*E14</x:f>
        <x:v>5945</x:v>
      </x:c>
      <x:c r="L14" s="34" t="n">
        <x:f>I14*E14</x:f>
        <x:v>3444</x:v>
      </x:c>
      <x:c r="M14" s="35" t="n">
        <x:f>K14/SUM($K$8:$K$19)</x:f>
        <x:v>0.09387484406827835</x:v>
      </x:c>
    </x:row>
    <x:row r="15">
      <x:c r="A15" s="1"/>
      <x:c r="B15" s="19" t="str">
        <x:v>Granola Bowl</x:v>
      </x:c>
      <x:c r="C15" s="19" t="str">
        <x:v>Food</x:v>
      </x:c>
      <x:c r="D15" s="37" t="n">
        <x:v>12.5</x:v>
      </x:c>
      <x:c r="E15" s="25" t="n">
        <x:v>260</x:v>
      </x:c>
      <x:c r="F15" s="37" t="n">
        <x:v>3.78</x:v>
      </x:c>
      <x:c r="G15" s="37" t="n">
        <x:v>0.25</x:v>
      </x:c>
      <x:c r="H15" s="36" t="n">
        <x:f>F15+G15</x:f>
        <x:v>4.029999999999999</x:v>
      </x:c>
      <x:c r="I15" s="36" t="n">
        <x:f>D15-H15</x:f>
        <x:v>8.47</x:v>
      </x:c>
      <x:c r="J15" s="35" t="n">
        <x:f>I15/D15</x:f>
        <x:v>0.6776000000000001</x:v>
      </x:c>
      <x:c r="K15" s="34" t="n">
        <x:f>D15*E15</x:f>
        <x:v>3250</x:v>
      </x:c>
      <x:c r="L15" s="34" t="n">
        <x:f>I15*E15</x:f>
        <x:v>2202.2000000000003</x:v>
      </x:c>
      <x:c r="M15" s="35" t="n">
        <x:f>K15/SUM($K$8:$K$19)</x:f>
        <x:v>0.05131930079426487</x:v>
      </x:c>
    </x:row>
    <x:row r="16">
      <x:c r="A16" s="1"/>
      <x:c r="B16" s="19" t="str">
        <x:v>Banana Bread</x:v>
      </x:c>
      <x:c r="C16" s="19" t="str">
        <x:v>Food</x:v>
      </x:c>
      <x:c r="D16" s="37" t="n">
        <x:v>6.8</x:v>
      </x:c>
      <x:c r="E16" s="25" t="n">
        <x:v>610</x:v>
      </x:c>
      <x:c r="F16" s="37" t="n">
        <x:v>2.25</x:v>
      </x:c>
      <x:c r="G16" s="37" t="n">
        <x:v>0.18</x:v>
      </x:c>
      <x:c r="H16" s="36" t="n">
        <x:f>F16+G16</x:f>
        <x:v>2.43</x:v>
      </x:c>
      <x:c r="I16" s="36" t="n">
        <x:f>D16-H16</x:f>
        <x:v>4.369999999999999</x:v>
      </x:c>
      <x:c r="J16" s="35" t="n">
        <x:f>I16/D16</x:f>
        <x:v>0.6426470588235293</x:v>
      </x:c>
      <x:c r="K16" s="34" t="n">
        <x:f>D16*E16</x:f>
        <x:v>4148</x:v>
      </x:c>
      <x:c r="L16" s="34" t="n">
        <x:f>I16*E16</x:f>
        <x:v>2665.6999999999994</x:v>
      </x:c>
      <x:c r="M16" s="35" t="n">
        <x:f>K16/SUM($K$8:$K$19)</x:f>
        <x:v>0.06549921836757251</x:v>
      </x:c>
    </x:row>
    <x:row r="17">
      <x:c r="A17" s="1"/>
      <x:c r="B17" s="19" t="str">
        <x:v>Almond Croissant</x:v>
      </x:c>
      <x:c r="C17" s="19" t="str">
        <x:v>Food</x:v>
      </x:c>
      <x:c r="D17" s="37" t="n">
        <x:v>7.2</x:v>
      </x:c>
      <x:c r="E17" s="25" t="n">
        <x:v>430</x:v>
      </x:c>
      <x:c r="F17" s="37" t="n">
        <x:v>2.88</x:v>
      </x:c>
      <x:c r="G17" s="37" t="n">
        <x:v>0.18</x:v>
      </x:c>
      <x:c r="H17" s="36" t="n">
        <x:f>F17+G17</x:f>
        <x:v>3.06</x:v>
      </x:c>
      <x:c r="I17" s="36" t="n">
        <x:f>D17-H17</x:f>
        <x:v>4.140000000000001</x:v>
      </x:c>
      <x:c r="J17" s="35" t="n">
        <x:f>I17/D17</x:f>
        <x:v>0.5750000000000001</x:v>
      </x:c>
      <x:c r="K17" s="34" t="n">
        <x:f>D17*E17</x:f>
        <x:v>3096</x:v>
      </x:c>
      <x:c r="L17" s="34" t="n">
        <x:f>I17*E17</x:f>
        <x:v>1780.2000000000003</x:v>
      </x:c>
      <x:c r="M17" s="35" t="n">
        <x:f>K17/SUM($K$8:$K$19)</x:f>
        <x:v>0.04888755546432124</x:v>
      </x:c>
    </x:row>
    <x:row r="18">
      <x:c r="A18" s="1"/>
      <x:c r="B18" s="19" t="str">
        <x:v>Retail Beans 250g</x:v>
      </x:c>
      <x:c r="C18" s="19" t="str">
        <x:v>Retail</x:v>
      </x:c>
      <x:c r="D18" s="37" t="n">
        <x:v>18</x:v>
      </x:c>
      <x:c r="E18" s="25" t="n">
        <x:v>115</x:v>
      </x:c>
      <x:c r="F18" s="37" t="n">
        <x:v>9.1</x:v>
      </x:c>
      <x:c r="G18" s="37" t="n">
        <x:v>0.6</x:v>
      </x:c>
      <x:c r="H18" s="36" t="n">
        <x:f>F18+G18</x:f>
        <x:v>9.7</x:v>
      </x:c>
      <x:c r="I18" s="36" t="n">
        <x:f>D18-H18</x:f>
        <x:v>8.3</x:v>
      </x:c>
      <x:c r="J18" s="35" t="n">
        <x:f>I18/D18</x:f>
        <x:v>0.46111111111111114</x:v>
      </x:c>
      <x:c r="K18" s="34" t="n">
        <x:f>D18*E18</x:f>
        <x:v>2070</x:v>
      </x:c>
      <x:c r="L18" s="34" t="n">
        <x:f>I18*E18</x:f>
        <x:v>954.5000000000001</x:v>
      </x:c>
      <x:c r="M18" s="35" t="n">
        <x:f>K18/SUM($K$8:$K$19)</x:f>
        <x:v>0.032686446967424086</x:v>
      </x:c>
    </x:row>
    <x:row r="19">
      <x:c r="A19" s="1"/>
      <x:c r="B19" s="19" t="str">
        <x:v>Reusable Cup</x:v>
      </x:c>
      <x:c r="C19" s="19" t="str">
        <x:v>Retail</x:v>
      </x:c>
      <x:c r="D19" s="37" t="n">
        <x:v>22</x:v>
      </x:c>
      <x:c r="E19" s="25" t="n">
        <x:v>45</x:v>
      </x:c>
      <x:c r="F19" s="37" t="n">
        <x:v>11.5</x:v>
      </x:c>
      <x:c r="G19" s="37" t="n">
        <x:v>0.45</x:v>
      </x:c>
      <x:c r="H19" s="36" t="n">
        <x:f>F19+G19</x:f>
        <x:v>11.95</x:v>
      </x:c>
      <x:c r="I19" s="36" t="n">
        <x:f>D19-H19</x:f>
        <x:v>10.05</x:v>
      </x:c>
      <x:c r="J19" s="35" t="n">
        <x:f>I19/D19</x:f>
        <x:v>0.45681818181818185</x:v>
      </x:c>
      <x:c r="K19" s="34" t="n">
        <x:f>D19*E19</x:f>
        <x:v>990</x:v>
      </x:c>
      <x:c r="L19" s="34" t="n">
        <x:f>I19*E19</x:f>
        <x:v>452.25000000000006</x:v>
      </x:c>
      <x:c r="M19" s="35" t="n">
        <x:f>K19/SUM($K$8:$K$19)</x:f>
        <x:v>0.015632648549637605</x:v>
      </x:c>
    </x:row>
    <x:row r="20">
      <x:c r="A20" s="1"/>
      <x:c r="B20" s="22" t="str">
        <x:v>Menu sample total / weighted margin</x:v>
      </x:c>
      <x:c r="C20" s="22"/>
      <x:c r="D20" s="22"/>
      <x:c r="E20" s="26" t="n">
        <x:f>SUM(E8:E19)</x:f>
        <x:v>8070</x:v>
      </x:c>
      <x:c r="F20" s="22"/>
      <x:c r="G20" s="22"/>
      <x:c r="H20" s="22"/>
      <x:c r="I20" s="22"/>
      <x:c r="J20" s="30" t="n">
        <x:f>L20/K20</x:f>
        <x:v>0.6631566896682403</x:v>
      </x:c>
      <x:c r="K20" s="24" t="n">
        <x:f>SUM(K8:K19)</x:f>
        <x:v>63329</x:v>
      </x:c>
      <x:c r="L20" s="24" t="n">
        <x:f>SUM(L8:L19)</x:f>
        <x:v>41997.04999999999</x:v>
      </x:c>
      <x:c r="M20" s="30" t="n">
        <x:f>SUM(M8:M19)</x:f>
        <x:v>1</x:v>
      </x:c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F6F6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2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1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Break-even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Fixed cost includes rostered labour and fixed/semi-variable operating expenses. Variable cost includes COGS, merchant fees and delivery commissions.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8" t="str">
        <x:v>Monthly break-even and margin of safety</x:v>
      </x:c>
      <x:c r="C6" s="9"/>
      <x:c r="D6" s="9"/>
      <x:c r="E6" s="9"/>
      <x:c r="F6" s="9"/>
      <x:c r="G6" s="9"/>
      <x:c r="H6" s="9"/>
      <x:c r="I6" s="9"/>
      <x:c r="J6" s="9"/>
      <x:c r="K6" s="9"/>
      <x:c r="L6" s="10"/>
    </x:row>
    <x:row r="7" ht="24" customHeight="1">
      <x:c r="A7" s="1"/>
      <x:c r="B7" s="15" t="str">
        <x:v>Month</x:v>
      </x:c>
      <x:c r="C7" s="16" t="str">
        <x:v>Revenue</x:v>
      </x:c>
      <x:c r="D7" s="16" t="str">
        <x:v>COGS</x:v>
      </x:c>
      <x:c r="E7" s="16" t="str">
        <x:v>Variable opex</x:v>
      </x:c>
      <x:c r="F7" s="16" t="str">
        <x:v>Contribution</x:v>
      </x:c>
      <x:c r="G7" s="16" t="str">
        <x:v>Contribution %</x:v>
      </x:c>
      <x:c r="H7" s="16" t="str">
        <x:v>Labour</x:v>
      </x:c>
      <x:c r="I7" s="16" t="str">
        <x:v>Fixed / semi-fixed opex</x:v>
      </x:c>
      <x:c r="J7" s="16" t="str">
        <x:v>Fixed cost base</x:v>
      </x:c>
      <x:c r="K7" s="16" t="str">
        <x:v>Break-even sales</x:v>
      </x:c>
      <x:c r="L7" s="17" t="str">
        <x:v>Margin of safety</x:v>
      </x:c>
    </x:row>
    <x:row r="8">
      <x:c r="A8" s="1"/>
      <x:c r="B8" s="19" t="str">
        <x:v>Oct-25</x:v>
      </x:c>
      <x:c r="C8" s="33" t="n">
        <x:f>'Revenue Analysis'!C8</x:f>
        <x:v>73500</x:v>
      </x:c>
      <x:c r="D8" s="33" t="n">
        <x:f>COGS!G8</x:f>
        <x:v>22509</x:v>
      </x:c>
      <x:c r="E8" s="33" t="n">
        <x:f>Expenses!D10+Expenses!D11</x:f>
        <x:v>2724</x:v>
      </x:c>
      <x:c r="F8" s="34" t="n">
        <x:f>C8-D8-E8</x:f>
        <x:v>48267</x:v>
      </x:c>
      <x:c r="G8" s="35" t="n">
        <x:f>F8/C8</x:f>
        <x:v>0.6566938775510204</x:v>
      </x:c>
      <x:c r="H8" s="33" t="n">
        <x:f>Labour!G8</x:f>
        <x:v>26620</x:v>
      </x:c>
      <x:c r="I8" s="33" t="n">
        <x:f>SUM(Expenses!D8:D9,Expenses!D12:D18)</x:f>
        <x:v>16365</x:v>
      </x:c>
      <x:c r="J8" s="34" t="n">
        <x:f>H8+I8</x:f>
        <x:v>42985</x:v>
      </x:c>
      <x:c r="K8" s="34" t="n">
        <x:f>J8/G8</x:f>
        <x:v>65456.67847597738</x:v>
      </x:c>
      <x:c r="L8" s="35" t="n">
        <x:f>(C8-K8)/C8</x:f>
        <x:v>0.10943294590506966</x:v>
      </x:c>
    </x:row>
    <x:row r="9">
      <x:c r="A9" s="1"/>
      <x:c r="B9" s="19" t="str">
        <x:v>Nov-25</x:v>
      </x:c>
      <x:c r="C9" s="33" t="n">
        <x:f>'Revenue Analysis'!C9</x:f>
        <x:v>75200</x:v>
      </x:c>
      <x:c r="D9" s="33" t="n">
        <x:f>COGS!G9</x:f>
        <x:v>23238</x:v>
      </x:c>
      <x:c r="E9" s="33" t="n">
        <x:f>Expenses!E10+Expenses!E11</x:f>
        <x:v>2829</x:v>
      </x:c>
      <x:c r="F9" s="34" t="n">
        <x:f>C9-D9-E9</x:f>
        <x:v>49133</x:v>
      </x:c>
      <x:c r="G9" s="35" t="n">
        <x:f>F9/C9</x:f>
        <x:v>0.6533643617021276</x:v>
      </x:c>
      <x:c r="H9" s="33" t="n">
        <x:f>Labour!G9</x:f>
        <x:v>27248</x:v>
      </x:c>
      <x:c r="I9" s="33" t="n">
        <x:f>SUM(Expenses!E8:E9,Expenses!E12:E18)</x:f>
        <x:v>16095</x:v>
      </x:c>
      <x:c r="J9" s="34" t="n">
        <x:f>H9+I9</x:f>
        <x:v>43343</x:v>
      </x:c>
      <x:c r="K9" s="34" t="n">
        <x:f>J9/G9</x:f>
        <x:v>66338.1759713431</x:v>
      </x:c>
      <x:c r="L9" s="35" t="n">
        <x:f>(C9-K9)/C9</x:f>
        <x:v>0.11784340463639502</x:v>
      </x:c>
    </x:row>
    <x:row r="10">
      <x:c r="A10" s="1"/>
      <x:c r="B10" s="19" t="str">
        <x:v>Dec-25</x:v>
      </x:c>
      <x:c r="C10" s="33" t="n">
        <x:f>'Revenue Analysis'!C10</x:f>
        <x:v>78100</x:v>
      </x:c>
      <x:c r="D10" s="33" t="n">
        <x:f>COGS!G10</x:f>
        <x:v>23918</x:v>
      </x:c>
      <x:c r="E10" s="33" t="n">
        <x:f>Expenses!F10+Expenses!F11</x:f>
        <x:v>3000</x:v>
      </x:c>
      <x:c r="F10" s="34" t="n">
        <x:f>C10-D10-E10</x:f>
        <x:v>51182</x:v>
      </x:c>
      <x:c r="G10" s="35" t="n">
        <x:f>F10/C10</x:f>
        <x:v>0.6553393085787452</x:v>
      </x:c>
      <x:c r="H10" s="33" t="n">
        <x:f>Labour!G10</x:f>
        <x:v>28044</x:v>
      </x:c>
      <x:c r="I10" s="33" t="n">
        <x:f>SUM(Expenses!F8:F9,Expenses!F12:F18)</x:f>
        <x:v>16765</x:v>
      </x:c>
      <x:c r="J10" s="34" t="n">
        <x:f>H10+I10</x:f>
        <x:v>44809</x:v>
      </x:c>
      <x:c r="K10" s="34" t="n">
        <x:f>J10/G10</x:f>
        <x:v>68375.26669532257</x:v>
      </x:c>
      <x:c r="L10" s="35" t="n">
        <x:f>(C10-K10)/C10</x:f>
        <x:v>0.12451643155796964</x:v>
      </x:c>
    </x:row>
    <x:row r="11">
      <x:c r="A11" s="1"/>
      <x:c r="B11" s="19" t="str">
        <x:v>Jan-26</x:v>
      </x:c>
      <x:c r="C11" s="33" t="n">
        <x:f>'Revenue Analysis'!C11</x:f>
        <x:v>81200</x:v>
      </x:c>
      <x:c r="D11" s="33" t="n">
        <x:f>COGS!G11</x:f>
        <x:v>24700</x:v>
      </x:c>
      <x:c r="E11" s="33" t="n">
        <x:f>Expenses!G10+Expenses!G11</x:f>
        <x:v>3125</x:v>
      </x:c>
      <x:c r="F11" s="34" t="n">
        <x:f>C11-D11-E11</x:f>
        <x:v>53375</x:v>
      </x:c>
      <x:c r="G11" s="35" t="n">
        <x:f>F11/C11</x:f>
        <x:v>0.6573275862068966</x:v>
      </x:c>
      <x:c r="H11" s="33" t="n">
        <x:f>Labour!G11</x:f>
        <x:v>28728</x:v>
      </x:c>
      <x:c r="I11" s="33" t="n">
        <x:f>SUM(Expenses!G8:G9,Expenses!G12:G18)</x:f>
        <x:v>17885</x:v>
      </x:c>
      <x:c r="J11" s="34" t="n">
        <x:f>H11+I11</x:f>
        <x:v>46613</x:v>
      </x:c>
      <x:c r="K11" s="34" t="n">
        <x:f>J11/G11</x:f>
        <x:v>70912.89180327869</x:v>
      </x:c>
      <x:c r="L11" s="35" t="n">
        <x:f>(C11-K11)/C11</x:f>
        <x:v>0.12668852459016391</x:v>
      </x:c>
    </x:row>
    <x:row r="12">
      <x:c r="A12" s="1"/>
      <x:c r="B12" s="19" t="str">
        <x:v>Feb-26</x:v>
      </x:c>
      <x:c r="C12" s="33" t="n">
        <x:f>'Revenue Analysis'!C12</x:f>
        <x:v>79500</x:v>
      </x:c>
      <x:c r="D12" s="33" t="n">
        <x:f>COGS!G12</x:f>
        <x:v>24816</x:v>
      </x:c>
      <x:c r="E12" s="33" t="n">
        <x:f>Expenses!H10+Expenses!H11</x:f>
        <x:v>3050</x:v>
      </x:c>
      <x:c r="F12" s="34" t="n">
        <x:f>C12-D12-E12</x:f>
        <x:v>51634</x:v>
      </x:c>
      <x:c r="G12" s="35" t="n">
        <x:f>F12/C12</x:f>
        <x:v>0.6494842767295598</x:v>
      </x:c>
      <x:c r="H12" s="33" t="n">
        <x:f>Labour!G12</x:f>
        <x:v>29127</x:v>
      </x:c>
      <x:c r="I12" s="33" t="n">
        <x:f>SUM(Expenses!H8:H9,Expenses!H12:H18)</x:f>
        <x:v>16520</x:v>
      </x:c>
      <x:c r="J12" s="34" t="n">
        <x:f>H12+I12</x:f>
        <x:v>45647</x:v>
      </x:c>
      <x:c r="K12" s="34" t="n">
        <x:f>J12/G12</x:f>
        <x:v>70281.91695394507</x:v>
      </x:c>
      <x:c r="L12" s="35" t="n">
        <x:f>(C12-K12)/C12</x:f>
        <x:v>0.11595073013905577</x:v>
      </x:c>
    </x:row>
    <x:row r="13">
      <x:c r="A13" s="1"/>
      <x:c r="B13" s="19" t="str">
        <x:v>Mar-26</x:v>
      </x:c>
      <x:c r="C13" s="33" t="n">
        <x:f>'Revenue Analysis'!C13</x:f>
        <x:v>83400</x:v>
      </x:c>
      <x:c r="D13" s="33" t="n">
        <x:f>COGS!G13</x:f>
        <x:v>25342</x:v>
      </x:c>
      <x:c r="E13" s="33" t="n">
        <x:f>Expenses!I10+Expenses!I11</x:f>
        <x:v>3201</x:v>
      </x:c>
      <x:c r="F13" s="34" t="n">
        <x:f>C13-D13-E13</x:f>
        <x:v>54857</x:v>
      </x:c>
      <x:c r="G13" s="35" t="n">
        <x:f>F13/C13</x:f>
        <x:v>0.657757793764988</x:v>
      </x:c>
      <x:c r="H13" s="33" t="n">
        <x:f>Labour!G13</x:f>
        <x:v>29469</x:v>
      </x:c>
      <x:c r="I13" s="33" t="n">
        <x:f>SUM(Expenses!I8:I9,Expenses!I12:I18)</x:f>
        <x:v>16650</x:v>
      </x:c>
      <x:c r="J13" s="34" t="n">
        <x:f>H13+I13</x:f>
        <x:v>46119</x:v>
      </x:c>
      <x:c r="K13" s="34" t="n">
        <x:f>J13/G13</x:f>
        <x:v>70115.47477988224</x:v>
      </x:c>
      <x:c r="L13" s="35" t="n">
        <x:f>(C13-K13)/C13</x:f>
        <x:v>0.15928687314289885</x:v>
      </x:c>
    </x:row>
    <x:row r="14">
      <x:c r="A14" s="1"/>
      <x:c r="B14" s="19" t="str">
        <x:v>Apr-26</x:v>
      </x:c>
      <x:c r="C14" s="33" t="n">
        <x:f>'Revenue Analysis'!C14</x:f>
        <x:v>85600</x:v>
      </x:c>
      <x:c r="D14" s="33" t="n">
        <x:f>COGS!G14</x:f>
        <x:v>25958</x:v>
      </x:c>
      <x:c r="E14" s="33" t="n">
        <x:f>Expenses!J10+Expenses!J11</x:f>
        <x:v>3318</x:v>
      </x:c>
      <x:c r="F14" s="34" t="n">
        <x:f>C14-D14-E14</x:f>
        <x:v>56324</x:v>
      </x:c>
      <x:c r="G14" s="35" t="n">
        <x:f>F14/C14</x:f>
        <x:v>0.6579906542056074</x:v>
      </x:c>
      <x:c r="H14" s="33" t="n">
        <x:f>Labour!G14</x:f>
        <x:v>29640</x:v>
      </x:c>
      <x:c r="I14" s="33" t="n">
        <x:f>SUM(Expenses!J8:J9,Expenses!J12:J18)</x:f>
        <x:v>16370</x:v>
      </x:c>
      <x:c r="J14" s="34" t="n">
        <x:f>H14+I14</x:f>
        <x:v>46010</x:v>
      </x:c>
      <x:c r="K14" s="34" t="n">
        <x:f>J14/G14</x:f>
        <x:v>69925.00532632627</x:v>
      </x:c>
      <x:c r="L14" s="35" t="n">
        <x:f>(C14-K14)/C14</x:f>
        <x:v>0.18311909665506698</x:v>
      </x:c>
    </x:row>
    <x:row r="15">
      <x:c r="A15" s="1"/>
      <x:c r="B15" s="19" t="str">
        <x:v>May-26</x:v>
      </x:c>
      <x:c r="C15" s="33" t="n">
        <x:f>'Revenue Analysis'!C15</x:f>
        <x:v>84200</x:v>
      </x:c>
      <x:c r="D15" s="33" t="n">
        <x:f>COGS!G15</x:f>
        <x:v>26182</x:v>
      </x:c>
      <x:c r="E15" s="33" t="n">
        <x:f>Expenses!K10+Expenses!K11</x:f>
        <x:v>3248</x:v>
      </x:c>
      <x:c r="F15" s="34" t="n">
        <x:f>C15-D15-E15</x:f>
        <x:v>54770</x:v>
      </x:c>
      <x:c r="G15" s="35" t="n">
        <x:f>F15/C15</x:f>
        <x:v>0.6504750593824228</x:v>
      </x:c>
      <x:c r="H15" s="33" t="n">
        <x:f>Labour!G15</x:f>
        <x:v>29412</x:v>
      </x:c>
      <x:c r="I15" s="33" t="n">
        <x:f>SUM(Expenses!K8:K9,Expenses!K12:K18)</x:f>
        <x:v>16790</x:v>
      </x:c>
      <x:c r="J15" s="34" t="n">
        <x:f>H15+I15</x:f>
        <x:v>46202</x:v>
      </x:c>
      <x:c r="K15" s="34" t="n">
        <x:f>J15/G15</x:f>
        <x:v>71028.08836954537</x:v>
      </x:c>
      <x:c r="L15" s="35" t="n">
        <x:f>(C15-K15)/C15</x:f>
        <x:v>0.1564360051122878</x:v>
      </x:c>
    </x:row>
    <x:row r="16">
      <x:c r="A16" s="1"/>
      <x:c r="B16" s="19" t="str">
        <x:v>Jun-26</x:v>
      </x:c>
      <x:c r="C16" s="33" t="n">
        <x:f>'Revenue Analysis'!C16</x:f>
        <x:v>87100</x:v>
      </x:c>
      <x:c r="D16" s="33" t="n">
        <x:f>COGS!G16</x:f>
        <x:v>26517</x:v>
      </x:c>
      <x:c r="E16" s="33" t="n">
        <x:f>Expenses!L10+Expenses!L11</x:f>
        <x:v>3339</x:v>
      </x:c>
      <x:c r="F16" s="34" t="n">
        <x:f>C16-D16-E16</x:f>
        <x:v>57244</x:v>
      </x:c>
      <x:c r="G16" s="35" t="n">
        <x:f>F16/C16</x:f>
        <x:v>0.6572215843857635</x:v>
      </x:c>
      <x:c r="H16" s="33" t="n">
        <x:f>Labour!G16</x:f>
        <x:v>29697</x:v>
      </x:c>
      <x:c r="I16" s="33" t="n">
        <x:f>SUM(Expenses!L8:L9,Expenses!L12:L18)</x:f>
        <x:v>16415</x:v>
      </x:c>
      <x:c r="J16" s="34" t="n">
        <x:f>H16+I16</x:f>
        <x:v>46112</x:v>
      </x:c>
      <x:c r="K16" s="34" t="n">
        <x:f>J16/G16</x:f>
        <x:v>70162.0292083013</x:v>
      </x:c>
      <x:c r="L16" s="35" t="n">
        <x:f>(C16-K16)/C16</x:f>
        <x:v>0.1944657955418909</x:v>
      </x:c>
    </x:row>
    <x:row r="17">
      <x:c r="A17" s="1"/>
      <x:c r="B17" s="19" t="str">
        <x:v>Jul-26</x:v>
      </x:c>
      <x:c r="C17" s="33" t="n">
        <x:f>'Revenue Analysis'!C17</x:f>
        <x:v>89500</x:v>
      </x:c>
      <x:c r="D17" s="33" t="n">
        <x:f>COGS!G17</x:f>
        <x:v>26971</x:v>
      </x:c>
      <x:c r="E17" s="33" t="n">
        <x:f>Expenses!M10+Expenses!M11</x:f>
        <x:v>3430</x:v>
      </x:c>
      <x:c r="F17" s="34" t="n">
        <x:f>C17-D17-E17</x:f>
        <x:v>59099</x:v>
      </x:c>
      <x:c r="G17" s="35" t="n">
        <x:f>F17/C17</x:f>
        <x:v>0.6603240223463687</x:v>
      </x:c>
      <x:c r="H17" s="33" t="n">
        <x:f>Labour!G17</x:f>
        <x:v>29982</x:v>
      </x:c>
      <x:c r="I17" s="33" t="n">
        <x:f>SUM(Expenses!M8:M9,Expenses!M12:M18)</x:f>
        <x:v>16495</x:v>
      </x:c>
      <x:c r="J17" s="34" t="n">
        <x:f>H17+I17</x:f>
        <x:v>46477</x:v>
      </x:c>
      <x:c r="K17" s="34" t="n">
        <x:f>J17/G17</x:f>
        <x:v>70385.14188057328</x:v>
      </x:c>
      <x:c r="L17" s="35" t="n">
        <x:f>(C17-K17)/C17</x:f>
        <x:v>0.21357383373661137</x:v>
      </x:c>
    </x:row>
    <x:row r="18">
      <x:c r="A18" s="1"/>
      <x:c r="B18" s="19" t="str">
        <x:v>Aug-26</x:v>
      </x:c>
      <x:c r="C18" s="33" t="n">
        <x:f>'Revenue Analysis'!C18</x:f>
        <x:v>91200</x:v>
      </x:c>
      <x:c r="D18" s="33" t="n">
        <x:f>COGS!G18</x:f>
        <x:v>27063</x:v>
      </x:c>
      <x:c r="E18" s="33" t="n">
        <x:f>Expenses!N10+Expenses!N11</x:f>
        <x:v>3495</x:v>
      </x:c>
      <x:c r="F18" s="34" t="n">
        <x:f>C18-D18-E18</x:f>
        <x:v>60642</x:v>
      </x:c>
      <x:c r="G18" s="35" t="n">
        <x:f>F18/C18</x:f>
        <x:v>0.6649342105263157</x:v>
      </x:c>
      <x:c r="H18" s="33" t="n">
        <x:f>Labour!G18</x:f>
        <x:v>30096</x:v>
      </x:c>
      <x:c r="I18" s="33" t="n">
        <x:f>SUM(Expenses!N8:N9,Expenses!N12:N18)</x:f>
        <x:v>16850</x:v>
      </x:c>
      <x:c r="J18" s="34" t="n">
        <x:f>H18+I18</x:f>
        <x:v>46946</x:v>
      </x:c>
      <x:c r="K18" s="34" t="n">
        <x:f>J18/G18</x:f>
        <x:v>70602.47353319482</x:v>
      </x:c>
      <x:c r="L18" s="35" t="n">
        <x:f>(C18-K18)/C18</x:f>
        <x:v>0.22585007090795156</x:v>
      </x:c>
    </x:row>
    <x:row r="19">
      <x:c r="A19" s="1"/>
      <x:c r="B19" s="19" t="str">
        <x:v>Sep-26</x:v>
      </x:c>
      <x:c r="C19" s="33" t="n">
        <x:f>'Revenue Analysis'!C19</x:f>
        <x:v>93800</x:v>
      </x:c>
      <x:c r="D19" s="33" t="n">
        <x:f>COGS!G19</x:f>
        <x:v>27389</x:v>
      </x:c>
      <x:c r="E19" s="33" t="n">
        <x:f>Expenses!O10+Expenses!O11</x:f>
        <x:v>3590</x:v>
      </x:c>
      <x:c r="F19" s="34" t="n">
        <x:f>C19-D19-E19</x:f>
        <x:v>62821</x:v>
      </x:c>
      <x:c r="G19" s="35" t="n">
        <x:f>F19/C19</x:f>
        <x:v>0.6697334754797442</x:v>
      </x:c>
      <x:c r="H19" s="33" t="n">
        <x:f>Labour!G19</x:f>
        <x:v>30324</x:v>
      </x:c>
      <x:c r="I19" s="33" t="n">
        <x:f>SUM(Expenses!O8:O9,Expenses!O12:O18)</x:f>
        <x:v>16815</x:v>
      </x:c>
      <x:c r="J19" s="34" t="n">
        <x:f>H19+I19</x:f>
        <x:v>47139</x:v>
      </x:c>
      <x:c r="K19" s="34" t="n">
        <x:f>J19/G19</x:f>
        <x:v>70384.71530220786</x:v>
      </x:c>
      <x:c r="L19" s="35" t="n">
        <x:f>(C19-K19)/C19</x:f>
        <x:v>0.24962990082934056</x:v>
      </x:c>
    </x:row>
    <x:row r="20">
      <x:c r="A20" s="1"/>
      <x:c r="B20" s="22" t="str">
        <x:v>12-month total / ratio</x:v>
      </x:c>
      <x:c r="C20" s="24" t="n">
        <x:f>SUM(C8:C19)</x:f>
        <x:v>1002300</x:v>
      </x:c>
      <x:c r="D20" s="24" t="n">
        <x:f>SUM(D8:D19)</x:f>
        <x:v>304603</x:v>
      </x:c>
      <x:c r="E20" s="24" t="n">
        <x:f>SUM(E8:E19)</x:f>
        <x:v>38349</x:v>
      </x:c>
      <x:c r="F20" s="24" t="n">
        <x:f>SUM(F8:F19)</x:f>
        <x:v>659348</x:v>
      </x:c>
      <x:c r="G20" s="30" t="n">
        <x:f>F20/C20</x:f>
        <x:v>0.6578349795470418</x:v>
      </x:c>
      <x:c r="H20" s="24" t="n">
        <x:f>SUM(H8:H19)</x:f>
        <x:v>348387</x:v>
      </x:c>
      <x:c r="I20" s="24" t="n">
        <x:f>SUM(I8:I19)</x:f>
        <x:v>200015</x:v>
      </x:c>
      <x:c r="J20" s="24" t="n">
        <x:f>SUM(J8:J19)</x:f>
        <x:v>548402</x:v>
      </x:c>
      <x:c r="K20" s="24" t="n">
        <x:f>J20/G20</x:f>
        <x:v>833646.761042727</x:v>
      </x:c>
      <x:c r="L20" s="30" t="n">
        <x:f>(C20-K20)/C20</x:f>
        <x:v>0.16826622663601012</x:v>
      </x:c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F6F6D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3" hidden="0" customWidth="1"/>
    <x:col min="2" max="2" width="24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Operating Expenses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>
      <x:c r="A4" s="5" t="str">
        <x:v>Illustrative operating expenses by category. COGS and labour are excluded from this schedule.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>
      <x:c r="A6" s="1"/>
      <x:c r="B6" s="8" t="str">
        <x:v>Monthly operating expenses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10"/>
    </x:row>
    <x:row r="7" ht="24" customHeight="1">
      <x:c r="A7" s="1"/>
      <x:c r="B7" s="15" t="str">
        <x:v>Category</x:v>
      </x:c>
      <x:c r="C7" s="16" t="str">
        <x:v>Cost type</x:v>
      </x:c>
      <x:c r="D7" s="16" t="str">
        <x:v>Oct-25</x:v>
      </x:c>
      <x:c r="E7" s="16" t="str">
        <x:v>Nov-25</x:v>
      </x:c>
      <x:c r="F7" s="16" t="str">
        <x:v>Dec-25</x:v>
      </x:c>
      <x:c r="G7" s="16" t="str">
        <x:v>Jan-26</x:v>
      </x:c>
      <x:c r="H7" s="16" t="str">
        <x:v>Feb-26</x:v>
      </x:c>
      <x:c r="I7" s="16" t="str">
        <x:v>Mar-26</x:v>
      </x:c>
      <x:c r="J7" s="16" t="str">
        <x:v>Apr-26</x:v>
      </x:c>
      <x:c r="K7" s="16" t="str">
        <x:v>May-26</x:v>
      </x:c>
      <x:c r="L7" s="16" t="str">
        <x:v>Jun-26</x:v>
      </x:c>
      <x:c r="M7" s="16" t="str">
        <x:v>Jul-26</x:v>
      </x:c>
      <x:c r="N7" s="16" t="str">
        <x:v>Aug-26</x:v>
      </x:c>
      <x:c r="O7" s="16" t="str">
        <x:v>Sep-26</x:v>
      </x:c>
      <x:c r="P7" s="17" t="str">
        <x:v>12-month total</x:v>
      </x:c>
    </x:row>
    <x:row r="8">
      <x:c r="A8" s="1"/>
      <x:c r="B8" s="19" t="str">
        <x:v>Rent</x:v>
      </x:c>
      <x:c r="C8" s="19" t="str">
        <x:v>Fixed</x:v>
      </x:c>
      <x:c r="D8" s="23" t="n">
        <x:v>9200</x:v>
      </x:c>
      <x:c r="E8" s="23" t="n">
        <x:v>9200</x:v>
      </x:c>
      <x:c r="F8" s="23" t="n">
        <x:v>9200</x:v>
      </x:c>
      <x:c r="G8" s="23" t="n">
        <x:v>9200</x:v>
      </x:c>
      <x:c r="H8" s="23" t="n">
        <x:v>9200</x:v>
      </x:c>
      <x:c r="I8" s="23" t="n">
        <x:v>9200</x:v>
      </x:c>
      <x:c r="J8" s="23" t="n">
        <x:v>9200</x:v>
      </x:c>
      <x:c r="K8" s="23" t="n">
        <x:v>9200</x:v>
      </x:c>
      <x:c r="L8" s="23" t="n">
        <x:v>9200</x:v>
      </x:c>
      <x:c r="M8" s="23" t="n">
        <x:v>9200</x:v>
      </x:c>
      <x:c r="N8" s="23" t="n">
        <x:v>9200</x:v>
      </x:c>
      <x:c r="O8" s="23" t="n">
        <x:v>9200</x:v>
      </x:c>
      <x:c r="P8" s="40" t="n">
        <x:f>SUM(D8:O8)</x:f>
        <x:v>110400</x:v>
      </x:c>
    </x:row>
    <x:row r="9">
      <x:c r="A9" s="1"/>
      <x:c r="B9" s="19" t="str">
        <x:v>Utilities</x:v>
      </x:c>
      <x:c r="C9" s="19" t="str">
        <x:v>Semi-variable</x:v>
      </x:c>
      <x:c r="D9" s="23" t="n">
        <x:v>1850</x:v>
      </x:c>
      <x:c r="E9" s="23" t="n">
        <x:v>1780</x:v>
      </x:c>
      <x:c r="F9" s="23" t="n">
        <x:v>1920</x:v>
      </x:c>
      <x:c r="G9" s="23" t="n">
        <x:v>2050</x:v>
      </x:c>
      <x:c r="H9" s="23" t="n">
        <x:v>1980</x:v>
      </x:c>
      <x:c r="I9" s="23" t="n">
        <x:v>1890</x:v>
      </x:c>
      <x:c r="J9" s="23" t="n">
        <x:v>1810</x:v>
      </x:c>
      <x:c r="K9" s="23" t="n">
        <x:v>1760</x:v>
      </x:c>
      <x:c r="L9" s="23" t="n">
        <x:v>1740</x:v>
      </x:c>
      <x:c r="M9" s="23" t="n">
        <x:v>1790</x:v>
      </x:c>
      <x:c r="N9" s="23" t="n">
        <x:v>1850</x:v>
      </x:c>
      <x:c r="O9" s="23" t="n">
        <x:v>1910</x:v>
      </x:c>
      <x:c r="P9" s="40" t="n">
        <x:f>SUM(D9:O9)</x:f>
        <x:v>22330</x:v>
      </x:c>
    </x:row>
    <x:row r="10">
      <x:c r="A10" s="1"/>
      <x:c r="B10" s="19" t="str">
        <x:v>Merchant fees</x:v>
      </x:c>
      <x:c r="C10" s="19" t="str">
        <x:v>Variable</x:v>
      </x:c>
      <x:c r="D10" s="23" t="n">
        <x:v>1544</x:v>
      </x:c>
      <x:c r="E10" s="23" t="n">
        <x:v>1579</x:v>
      </x:c>
      <x:c r="F10" s="23" t="n">
        <x:v>1640</x:v>
      </x:c>
      <x:c r="G10" s="23" t="n">
        <x:v>1705</x:v>
      </x:c>
      <x:c r="H10" s="23" t="n">
        <x:v>1670</x:v>
      </x:c>
      <x:c r="I10" s="23" t="n">
        <x:v>1751</x:v>
      </x:c>
      <x:c r="J10" s="23" t="n">
        <x:v>1798</x:v>
      </x:c>
      <x:c r="K10" s="23" t="n">
        <x:v>1768</x:v>
      </x:c>
      <x:c r="L10" s="23" t="n">
        <x:v>1829</x:v>
      </x:c>
      <x:c r="M10" s="23" t="n">
        <x:v>1880</x:v>
      </x:c>
      <x:c r="N10" s="23" t="n">
        <x:v>1915</x:v>
      </x:c>
      <x:c r="O10" s="23" t="n">
        <x:v>1970</x:v>
      </x:c>
      <x:c r="P10" s="40" t="n">
        <x:f>SUM(D10:O10)</x:f>
        <x:v>21049</x:v>
      </x:c>
    </x:row>
    <x:row r="11">
      <x:c r="A11" s="1"/>
      <x:c r="B11" s="19" t="str">
        <x:v>Delivery commissions</x:v>
      </x:c>
      <x:c r="C11" s="19" t="str">
        <x:v>Variable</x:v>
      </x:c>
      <x:c r="D11" s="23" t="n">
        <x:v>1180</x:v>
      </x:c>
      <x:c r="E11" s="23" t="n">
        <x:v>1250</x:v>
      </x:c>
      <x:c r="F11" s="23" t="n">
        <x:v>1360</x:v>
      </x:c>
      <x:c r="G11" s="23" t="n">
        <x:v>1420</x:v>
      </x:c>
      <x:c r="H11" s="23" t="n">
        <x:v>1380</x:v>
      </x:c>
      <x:c r="I11" s="23" t="n">
        <x:v>1450</x:v>
      </x:c>
      <x:c r="J11" s="23" t="n">
        <x:v>1520</x:v>
      </x:c>
      <x:c r="K11" s="23" t="n">
        <x:v>1480</x:v>
      </x:c>
      <x:c r="L11" s="23" t="n">
        <x:v>1510</x:v>
      </x:c>
      <x:c r="M11" s="23" t="n">
        <x:v>1550</x:v>
      </x:c>
      <x:c r="N11" s="23" t="n">
        <x:v>1580</x:v>
      </x:c>
      <x:c r="O11" s="23" t="n">
        <x:v>1620</x:v>
      </x:c>
      <x:c r="P11" s="40" t="n">
        <x:f>SUM(D11:O11)</x:f>
        <x:v>17300</x:v>
      </x:c>
    </x:row>
    <x:row r="12">
      <x:c r="A12" s="1"/>
      <x:c r="B12" s="19" t="str">
        <x:v>Insurance</x:v>
      </x:c>
      <x:c r="C12" s="19" t="str">
        <x:v>Fixed</x:v>
      </x:c>
      <x:c r="D12" s="23" t="n">
        <x:v>620</x:v>
      </x:c>
      <x:c r="E12" s="23" t="n">
        <x:v>620</x:v>
      </x:c>
      <x:c r="F12" s="23" t="n">
        <x:v>620</x:v>
      </x:c>
      <x:c r="G12" s="23" t="n">
        <x:v>620</x:v>
      </x:c>
      <x:c r="H12" s="23" t="n">
        <x:v>620</x:v>
      </x:c>
      <x:c r="I12" s="23" t="n">
        <x:v>620</x:v>
      </x:c>
      <x:c r="J12" s="23" t="n">
        <x:v>620</x:v>
      </x:c>
      <x:c r="K12" s="23" t="n">
        <x:v>620</x:v>
      </x:c>
      <x:c r="L12" s="23" t="n">
        <x:v>620</x:v>
      </x:c>
      <x:c r="M12" s="23" t="n">
        <x:v>620</x:v>
      </x:c>
      <x:c r="N12" s="23" t="n">
        <x:v>620</x:v>
      </x:c>
      <x:c r="O12" s="23" t="n">
        <x:v>620</x:v>
      </x:c>
      <x:c r="P12" s="40" t="n">
        <x:f>SUM(D12:O12)</x:f>
        <x:v>7440</x:v>
      </x:c>
    </x:row>
    <x:row r="13">
      <x:c r="A13" s="1"/>
      <x:c r="B13" s="19" t="str">
        <x:v>Software</x:v>
      </x:c>
      <x:c r="C13" s="19" t="str">
        <x:v>Fixed</x:v>
      </x:c>
      <x:c r="D13" s="23" t="n">
        <x:v>485</x:v>
      </x:c>
      <x:c r="E13" s="23" t="n">
        <x:v>485</x:v>
      </x:c>
      <x:c r="F13" s="23" t="n">
        <x:v>485</x:v>
      </x:c>
      <x:c r="G13" s="23" t="n">
        <x:v>485</x:v>
      </x:c>
      <x:c r="H13" s="23" t="n">
        <x:v>485</x:v>
      </x:c>
      <x:c r="I13" s="23" t="n">
        <x:v>485</x:v>
      </x:c>
      <x:c r="J13" s="23" t="n">
        <x:v>485</x:v>
      </x:c>
      <x:c r="K13" s="23" t="n">
        <x:v>485</x:v>
      </x:c>
      <x:c r="L13" s="23" t="n">
        <x:v>485</x:v>
      </x:c>
      <x:c r="M13" s="23" t="n">
        <x:v>485</x:v>
      </x:c>
      <x:c r="N13" s="23" t="n">
        <x:v>485</x:v>
      </x:c>
      <x:c r="O13" s="23" t="n">
        <x:v>485</x:v>
      </x:c>
      <x:c r="P13" s="40" t="n">
        <x:f>SUM(D13:O13)</x:f>
        <x:v>5820</x:v>
      </x:c>
    </x:row>
    <x:row r="14">
      <x:c r="A14" s="1"/>
      <x:c r="B14" s="19" t="str">
        <x:v>Equipment lease</x:v>
      </x:c>
      <x:c r="C14" s="19" t="str">
        <x:v>Fixed</x:v>
      </x:c>
      <x:c r="D14" s="23" t="n">
        <x:v>1150</x:v>
      </x:c>
      <x:c r="E14" s="23" t="n">
        <x:v>1150</x:v>
      </x:c>
      <x:c r="F14" s="23" t="n">
        <x:v>1150</x:v>
      </x:c>
      <x:c r="G14" s="23" t="n">
        <x:v>1150</x:v>
      </x:c>
      <x:c r="H14" s="23" t="n">
        <x:v>1150</x:v>
      </x:c>
      <x:c r="I14" s="23" t="n">
        <x:v>1150</x:v>
      </x:c>
      <x:c r="J14" s="23" t="n">
        <x:v>1150</x:v>
      </x:c>
      <x:c r="K14" s="23" t="n">
        <x:v>1150</x:v>
      </x:c>
      <x:c r="L14" s="23" t="n">
        <x:v>1150</x:v>
      </x:c>
      <x:c r="M14" s="23" t="n">
        <x:v>1150</x:v>
      </x:c>
      <x:c r="N14" s="23" t="n">
        <x:v>1150</x:v>
      </x:c>
      <x:c r="O14" s="23" t="n">
        <x:v>1150</x:v>
      </x:c>
      <x:c r="P14" s="40" t="n">
        <x:f>SUM(D14:O14)</x:f>
        <x:v>13800</x:v>
      </x:c>
    </x:row>
    <x:row r="15">
      <x:c r="A15" s="1"/>
      <x:c r="B15" s="19" t="str">
        <x:v>Cleaning</x:v>
      </x:c>
      <x:c r="C15" s="19" t="str">
        <x:v>Semi-variable</x:v>
      </x:c>
      <x:c r="D15" s="23" t="n">
        <x:v>890</x:v>
      </x:c>
      <x:c r="E15" s="23" t="n">
        <x:v>920</x:v>
      </x:c>
      <x:c r="F15" s="23" t="n">
        <x:v>940</x:v>
      </x:c>
      <x:c r="G15" s="23" t="n">
        <x:v>960</x:v>
      </x:c>
      <x:c r="H15" s="23" t="n">
        <x:v>955</x:v>
      </x:c>
      <x:c r="I15" s="23" t="n">
        <x:v>970</x:v>
      </x:c>
      <x:c r="J15" s="23" t="n">
        <x:v>990</x:v>
      </x:c>
      <x:c r="K15" s="23" t="n">
        <x:v>985</x:v>
      </x:c>
      <x:c r="L15" s="23" t="n">
        <x:v>1000</x:v>
      </x:c>
      <x:c r="M15" s="23" t="n">
        <x:v>1010</x:v>
      </x:c>
      <x:c r="N15" s="23" t="n">
        <x:v>1020</x:v>
      </x:c>
      <x:c r="O15" s="23" t="n">
        <x:v>1030</x:v>
      </x:c>
      <x:c r="P15" s="40" t="n">
        <x:f>SUM(D15:O15)</x:f>
        <x:v>11670</x:v>
      </x:c>
    </x:row>
    <x:row r="16">
      <x:c r="A16" s="1"/>
      <x:c r="B16" s="19" t="str">
        <x:v>Repairs &amp; maintenance</x:v>
      </x:c>
      <x:c r="C16" s="19" t="str">
        <x:v>Semi-variable</x:v>
      </x:c>
      <x:c r="D16" s="23" t="n">
        <x:v>740</x:v>
      </x:c>
      <x:c r="E16" s="23" t="n">
        <x:v>420</x:v>
      </x:c>
      <x:c r="F16" s="23" t="n">
        <x:v>680</x:v>
      </x:c>
      <x:c r="G16" s="23" t="n">
        <x:v>1350</x:v>
      </x:c>
      <x:c r="H16" s="23" t="n">
        <x:v>520</x:v>
      </x:c>
      <x:c r="I16" s="23" t="n">
        <x:v>610</x:v>
      </x:c>
      <x:c r="J16" s="23" t="n">
        <x:v>430</x:v>
      </x:c>
      <x:c r="K16" s="23" t="n">
        <x:v>980</x:v>
      </x:c>
      <x:c r="L16" s="23" t="n">
        <x:v>560</x:v>
      </x:c>
      <x:c r="M16" s="23" t="n">
        <x:v>490</x:v>
      </x:c>
      <x:c r="N16" s="23" t="n">
        <x:v>720</x:v>
      </x:c>
      <x:c r="O16" s="23" t="n">
        <x:v>450</x:v>
      </x:c>
      <x:c r="P16" s="40" t="n">
        <x:f>SUM(D16:O16)</x:f>
        <x:v>7950</x:v>
      </x:c>
    </x:row>
    <x:row r="17">
      <x:c r="A17" s="1"/>
      <x:c r="B17" s="19" t="str">
        <x:v>Marketing</x:v>
      </x:c>
      <x:c r="C17" s="19" t="str">
        <x:v>Discretionary</x:v>
      </x:c>
      <x:c r="D17" s="23" t="n">
        <x:v>650</x:v>
      </x:c>
      <x:c r="E17" s="23" t="n">
        <x:v>720</x:v>
      </x:c>
      <x:c r="F17" s="23" t="n">
        <x:v>980</x:v>
      </x:c>
      <x:c r="G17" s="23" t="n">
        <x:v>1250</x:v>
      </x:c>
      <x:c r="H17" s="23" t="n">
        <x:v>800</x:v>
      </x:c>
      <x:c r="I17" s="23" t="n">
        <x:v>900</x:v>
      </x:c>
      <x:c r="J17" s="23" t="n">
        <x:v>850</x:v>
      </x:c>
      <x:c r="K17" s="23" t="n">
        <x:v>780</x:v>
      </x:c>
      <x:c r="L17" s="23" t="n">
        <x:v>820</x:v>
      </x:c>
      <x:c r="M17" s="23" t="n">
        <x:v>900</x:v>
      </x:c>
      <x:c r="N17" s="23" t="n">
        <x:v>950</x:v>
      </x:c>
      <x:c r="O17" s="23" t="n">
        <x:v>1100</x:v>
      </x:c>
      <x:c r="P17" s="40" t="n">
        <x:f>SUM(D17:O17)</x:f>
        <x:v>10700</x:v>
      </x:c>
    </x:row>
    <x:row r="18">
      <x:c r="A18" s="1"/>
      <x:c r="B18" s="19" t="str">
        <x:v>Admin &amp; other</x:v>
      </x:c>
      <x:c r="C18" s="19" t="str">
        <x:v>Fixed</x:v>
      </x:c>
      <x:c r="D18" s="23" t="n">
        <x:v>780</x:v>
      </x:c>
      <x:c r="E18" s="23" t="n">
        <x:v>800</x:v>
      </x:c>
      <x:c r="F18" s="23" t="n">
        <x:v>790</x:v>
      </x:c>
      <x:c r="G18" s="23" t="n">
        <x:v>820</x:v>
      </x:c>
      <x:c r="H18" s="23" t="n">
        <x:v>810</x:v>
      </x:c>
      <x:c r="I18" s="23" t="n">
        <x:v>825</x:v>
      </x:c>
      <x:c r="J18" s="23" t="n">
        <x:v>835</x:v>
      </x:c>
      <x:c r="K18" s="23" t="n">
        <x:v>830</x:v>
      </x:c>
      <x:c r="L18" s="23" t="n">
        <x:v>840</x:v>
      </x:c>
      <x:c r="M18" s="23" t="n">
        <x:v>850</x:v>
      </x:c>
      <x:c r="N18" s="23" t="n">
        <x:v>855</x:v>
      </x:c>
      <x:c r="O18" s="23" t="n">
        <x:v>870</x:v>
      </x:c>
      <x:c r="P18" s="40" t="n">
        <x:f>SUM(D18:O18)</x:f>
        <x:v>9905</x:v>
      </x:c>
    </x:row>
    <x:row r="19">
      <x:c r="A19" s="1"/>
      <x:c r="B19" s="22" t="str">
        <x:v>Total operating expenses</x:v>
      </x:c>
      <x:c r="C19" s="22"/>
      <x:c r="D19" s="24" t="n">
        <x:f>SUM(D8:D18)</x:f>
        <x:v>19089</x:v>
      </x:c>
      <x:c r="E19" s="24" t="n">
        <x:f>SUM(E8:E18)</x:f>
        <x:v>18924</x:v>
      </x:c>
      <x:c r="F19" s="24" t="n">
        <x:f>SUM(F8:F18)</x:f>
        <x:v>19765</x:v>
      </x:c>
      <x:c r="G19" s="24" t="n">
        <x:f>SUM(G8:G18)</x:f>
        <x:v>21010</x:v>
      </x:c>
      <x:c r="H19" s="24" t="n">
        <x:f>SUM(H8:H18)</x:f>
        <x:v>19570</x:v>
      </x:c>
      <x:c r="I19" s="24" t="n">
        <x:f>SUM(I8:I18)</x:f>
        <x:v>19851</x:v>
      </x:c>
      <x:c r="J19" s="24" t="n">
        <x:f>SUM(J8:J18)</x:f>
        <x:v>19688</x:v>
      </x:c>
      <x:c r="K19" s="24" t="n">
        <x:f>SUM(K8:K18)</x:f>
        <x:v>20038</x:v>
      </x:c>
      <x:c r="L19" s="24" t="n">
        <x:f>SUM(L8:L18)</x:f>
        <x:v>19754</x:v>
      </x:c>
      <x:c r="M19" s="24" t="n">
        <x:f>SUM(M8:M18)</x:f>
        <x:v>19925</x:v>
      </x:c>
      <x:c r="N19" s="24" t="n">
        <x:f>SUM(N8:N18)</x:f>
        <x:v>20345</x:v>
      </x:c>
      <x:c r="O19" s="24" t="n">
        <x:f>SUM(O8:O18)</x:f>
        <x:v>20405</x:v>
      </x:c>
      <x:c r="P19" s="24" t="n">
        <x:f>SUM(P8:P18)</x:f>
        <x:v>238364</x:v>
      </x:c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F6F6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Cash Flow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>
      <x:c r="A4" s="5" t="str">
        <x:v>Illustrative cash timing schedule. Receipts and payments may differ from the profit and loss statement.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1"/>
      <x:c r="B6" s="8" t="str">
        <x:v>Monthly cash movement</x:v>
      </x:c>
      <x:c r="C6" s="9"/>
      <x:c r="D6" s="9"/>
      <x:c r="E6" s="9"/>
      <x:c r="F6" s="9"/>
      <x:c r="G6" s="9"/>
      <x:c r="H6" s="9"/>
      <x:c r="I6" s="9"/>
      <x:c r="J6" s="9"/>
      <x:c r="K6" s="10"/>
    </x:row>
    <x:row r="7" ht="24" customHeight="1">
      <x:c r="A7" s="1"/>
      <x:c r="B7" s="15" t="str">
        <x:v>Month</x:v>
      </x:c>
      <x:c r="C7" s="16" t="str">
        <x:v>Cash receipts</x:v>
      </x:c>
      <x:c r="D7" s="16" t="str">
        <x:v>Supplier payments</x:v>
      </x:c>
      <x:c r="E7" s="16" t="str">
        <x:v>Payroll payments</x:v>
      </x:c>
      <x:c r="F7" s="16" t="str">
        <x:v>Operating payments</x:v>
      </x:c>
      <x:c r="G7" s="16" t="str">
        <x:v>Tax / other</x:v>
      </x:c>
      <x:c r="H7" s="16" t="str">
        <x:v>Net cash flow</x:v>
      </x:c>
      <x:c r="I7" s="16" t="str">
        <x:v>Opening cash</x:v>
      </x:c>
      <x:c r="J7" s="16" t="str">
        <x:v>Closing cash</x:v>
      </x:c>
      <x:c r="K7" s="17" t="str">
        <x:v>Cash coverage (months)</x:v>
      </x:c>
    </x:row>
    <x:row r="8">
      <x:c r="A8" s="1"/>
      <x:c r="B8" s="19" t="str">
        <x:v>Oct-25</x:v>
      </x:c>
      <x:c r="C8" s="23" t="n">
        <x:v>71800</x:v>
      </x:c>
      <x:c r="D8" s="23" t="n">
        <x:v>22400</x:v>
      </x:c>
      <x:c r="E8" s="23" t="n">
        <x:v>26400</x:v>
      </x:c>
      <x:c r="F8" s="23" t="n">
        <x:v>18800</x:v>
      </x:c>
      <x:c r="G8" s="23" t="n">
        <x:v>1100</x:v>
      </x:c>
      <x:c r="H8" s="34" t="n">
        <x:f>C8-SUM(D8:G8)</x:f>
        <x:v>3100</x:v>
      </x:c>
      <x:c r="I8" s="23" t="n">
        <x:v>36500</x:v>
      </x:c>
      <x:c r="J8" s="34" t="n">
        <x:f>I8+H8</x:f>
        <x:v>39600</x:v>
      </x:c>
      <x:c r="K8" s="41" t="n">
        <x:f>J8/SUM(D8:G8)</x:f>
        <x:v>0.5764192139737991</x:v>
      </x:c>
    </x:row>
    <x:row r="9">
      <x:c r="A9" s="1"/>
      <x:c r="B9" s="19" t="str">
        <x:v>Nov-25</x:v>
      </x:c>
      <x:c r="C9" s="23" t="n">
        <x:v>74600</x:v>
      </x:c>
      <x:c r="D9" s="23" t="n">
        <x:v>23900</x:v>
      </x:c>
      <x:c r="E9" s="23" t="n">
        <x:v>26900</x:v>
      </x:c>
      <x:c r="F9" s="23" t="n">
        <x:v>17600</x:v>
      </x:c>
      <x:c r="G9" s="23" t="n">
        <x:v>1200</x:v>
      </x:c>
      <x:c r="H9" s="34" t="n">
        <x:f>C9-SUM(D9:G9)</x:f>
        <x:v>5000</x:v>
      </x:c>
      <x:c r="I9" s="34" t="n">
        <x:f>J8</x:f>
        <x:v>39600</x:v>
      </x:c>
      <x:c r="J9" s="34" t="n">
        <x:f>I9+H9</x:f>
        <x:v>44600</x:v>
      </x:c>
      <x:c r="K9" s="41" t="n">
        <x:f>J9/SUM(D9:G9)</x:f>
        <x:v>0.6408045977011494</x:v>
      </x:c>
    </x:row>
    <x:row r="10">
      <x:c r="A10" s="1"/>
      <x:c r="B10" s="19" t="str">
        <x:v>Dec-25</x:v>
      </x:c>
      <x:c r="C10" s="23" t="n">
        <x:v>79000</x:v>
      </x:c>
      <x:c r="D10" s="23" t="n">
        <x:v>25100</x:v>
      </x:c>
      <x:c r="E10" s="23" t="n">
        <x:v>27900</x:v>
      </x:c>
      <x:c r="F10" s="23" t="n">
        <x:v>19200</x:v>
      </x:c>
      <x:c r="G10" s="23" t="n">
        <x:v>1800</x:v>
      </x:c>
      <x:c r="H10" s="34" t="n">
        <x:f>C10-SUM(D10:G10)</x:f>
        <x:v>5000</x:v>
      </x:c>
      <x:c r="I10" s="34" t="n">
        <x:f>J9</x:f>
        <x:v>44600</x:v>
      </x:c>
      <x:c r="J10" s="34" t="n">
        <x:f>I10+H10</x:f>
        <x:v>49600</x:v>
      </x:c>
      <x:c r="K10" s="41" t="n">
        <x:f>J10/SUM(D10:G10)</x:f>
        <x:v>0.6702702702702703</x:v>
      </x:c>
    </x:row>
    <x:row r="11">
      <x:c r="A11" s="1"/>
      <x:c r="B11" s="19" t="str">
        <x:v>Jan-26</x:v>
      </x:c>
      <x:c r="C11" s="23" t="n">
        <x:v>80400</x:v>
      </x:c>
      <x:c r="D11" s="23" t="n">
        <x:v>26700</x:v>
      </x:c>
      <x:c r="E11" s="23" t="n">
        <x:v>28200</x:v>
      </x:c>
      <x:c r="F11" s="23" t="n">
        <x:v>21400</x:v>
      </x:c>
      <x:c r="G11" s="23" t="n">
        <x:v>1250</x:v>
      </x:c>
      <x:c r="H11" s="34" t="n">
        <x:f>C11-SUM(D11:G11)</x:f>
        <x:v>2850</x:v>
      </x:c>
      <x:c r="I11" s="34" t="n">
        <x:f>J10</x:f>
        <x:v>49600</x:v>
      </x:c>
      <x:c r="J11" s="34" t="n">
        <x:f>I11+H11</x:f>
        <x:v>52450</x:v>
      </x:c>
      <x:c r="K11" s="41" t="n">
        <x:f>J11/SUM(D11:G11)</x:f>
        <x:v>0.6763378465506125</x:v>
      </x:c>
    </x:row>
    <x:row r="12">
      <x:c r="A12" s="1"/>
      <x:c r="B12" s="19" t="str">
        <x:v>Feb-26</x:v>
      </x:c>
      <x:c r="C12" s="23" t="n">
        <x:v>78900</x:v>
      </x:c>
      <x:c r="D12" s="23" t="n">
        <x:v>24100</x:v>
      </x:c>
      <x:c r="E12" s="23" t="n">
        <x:v>29100</x:v>
      </x:c>
      <x:c r="F12" s="23" t="n">
        <x:v>18100</x:v>
      </x:c>
      <x:c r="G12" s="23" t="n">
        <x:v>1350</x:v>
      </x:c>
      <x:c r="H12" s="34" t="n">
        <x:f>C12-SUM(D12:G12)</x:f>
        <x:v>6250</x:v>
      </x:c>
      <x:c r="I12" s="34" t="n">
        <x:f>J11</x:f>
        <x:v>52450</x:v>
      </x:c>
      <x:c r="J12" s="34" t="n">
        <x:f>I12+H12</x:f>
        <x:v>58700</x:v>
      </x:c>
      <x:c r="K12" s="41" t="n">
        <x:f>J12/SUM(D12:G12)</x:f>
        <x:v>0.8079834824501032</x:v>
      </x:c>
    </x:row>
    <x:row r="13">
      <x:c r="A13" s="1"/>
      <x:c r="B13" s="19" t="str">
        <x:v>Mar-26</x:v>
      </x:c>
      <x:c r="C13" s="23" t="n">
        <x:v>83800</x:v>
      </x:c>
      <x:c r="D13" s="23" t="n">
        <x:v>26300</x:v>
      </x:c>
      <x:c r="E13" s="23" t="n">
        <x:v>29400</x:v>
      </x:c>
      <x:c r="F13" s="23" t="n">
        <x:v>18600</x:v>
      </x:c>
      <x:c r="G13" s="23" t="n">
        <x:v>1600</x:v>
      </x:c>
      <x:c r="H13" s="34" t="n">
        <x:f>C13-SUM(D13:G13)</x:f>
        <x:v>7900</x:v>
      </x:c>
      <x:c r="I13" s="34" t="n">
        <x:f>J12</x:f>
        <x:v>58700</x:v>
      </x:c>
      <x:c r="J13" s="34" t="n">
        <x:f>I13+H13</x:f>
        <x:v>66600</x:v>
      </x:c>
      <x:c r="K13" s="41" t="n">
        <x:f>J13/SUM(D13:G13)</x:f>
        <x:v>0.8774703557312253</x:v>
      </x:c>
    </x:row>
    <x:row r="14">
      <x:c r="A14" s="1"/>
      <x:c r="B14" s="19" t="str">
        <x:v>Apr-26</x:v>
      </x:c>
      <x:c r="C14" s="23" t="n">
        <x:v>85100</x:v>
      </x:c>
      <x:c r="D14" s="23" t="n">
        <x:v>25700</x:v>
      </x:c>
      <x:c r="E14" s="23" t="n">
        <x:v>29800</x:v>
      </x:c>
      <x:c r="F14" s="23" t="n">
        <x:v>19000</x:v>
      </x:c>
      <x:c r="G14" s="23" t="n">
        <x:v>1300</x:v>
      </x:c>
      <x:c r="H14" s="34" t="n">
        <x:f>C14-SUM(D14:G14)</x:f>
        <x:v>9300</x:v>
      </x:c>
      <x:c r="I14" s="34" t="n">
        <x:f>J13</x:f>
        <x:v>66600</x:v>
      </x:c>
      <x:c r="J14" s="34" t="n">
        <x:f>I14+H14</x:f>
        <x:v>75900</x:v>
      </x:c>
      <x:c r="K14" s="41" t="n">
        <x:f>J14/SUM(D14:G14)</x:f>
        <x:v>1.0013192612137203</x:v>
      </x:c>
    </x:row>
    <x:row r="15">
      <x:c r="A15" s="1"/>
      <x:c r="B15" s="19" t="str">
        <x:v>May-26</x:v>
      </x:c>
      <x:c r="C15" s="23" t="n">
        <x:v>84600</x:v>
      </x:c>
      <x:c r="D15" s="23" t="n">
        <x:v>27600</x:v>
      </x:c>
      <x:c r="E15" s="23" t="n">
        <x:v>29200</x:v>
      </x:c>
      <x:c r="F15" s="23" t="n">
        <x:v>18800</x:v>
      </x:c>
      <x:c r="G15" s="23" t="n">
        <x:v>1450</x:v>
      </x:c>
      <x:c r="H15" s="34" t="n">
        <x:f>C15-SUM(D15:G15)</x:f>
        <x:v>7550</x:v>
      </x:c>
      <x:c r="I15" s="34" t="n">
        <x:f>J14</x:f>
        <x:v>75900</x:v>
      </x:c>
      <x:c r="J15" s="34" t="n">
        <x:f>I15+H15</x:f>
        <x:v>83450</x:v>
      </x:c>
      <x:c r="K15" s="41" t="n">
        <x:f>J15/SUM(D15:G15)</x:f>
        <x:v>1.0830629461388708</x:v>
      </x:c>
    </x:row>
    <x:row r="16">
      <x:c r="A16" s="1"/>
      <x:c r="B16" s="19" t="str">
        <x:v>Jun-26</x:v>
      </x:c>
      <x:c r="C16" s="23" t="n">
        <x:v>86600</x:v>
      </x:c>
      <x:c r="D16" s="23" t="n">
        <x:v>25500</x:v>
      </x:c>
      <x:c r="E16" s="23" t="n">
        <x:v>30000</x:v>
      </x:c>
      <x:c r="F16" s="23" t="n">
        <x:v>19100</x:v>
      </x:c>
      <x:c r="G16" s="23" t="n">
        <x:v>1550</x:v>
      </x:c>
      <x:c r="H16" s="34" t="n">
        <x:f>C16-SUM(D16:G16)</x:f>
        <x:v>10450</x:v>
      </x:c>
      <x:c r="I16" s="34" t="n">
        <x:f>J15</x:f>
        <x:v>83450</x:v>
      </x:c>
      <x:c r="J16" s="34" t="n">
        <x:f>I16+H16</x:f>
        <x:v>93900</x:v>
      </x:c>
      <x:c r="K16" s="41" t="n">
        <x:f>J16/SUM(D16:G16)</x:f>
        <x:v>1.2330925804333552</x:v>
      </x:c>
    </x:row>
    <x:row r="17">
      <x:c r="A17" s="1"/>
      <x:c r="B17" s="19" t="str">
        <x:v>Jul-26</x:v>
      </x:c>
      <x:c r="C17" s="23" t="n">
        <x:v>89000</x:v>
      </x:c>
      <x:c r="D17" s="23" t="n">
        <x:v>26900</x:v>
      </x:c>
      <x:c r="E17" s="23" t="n">
        <x:v>30200</x:v>
      </x:c>
      <x:c r="F17" s="23" t="n">
        <x:v>19200</x:v>
      </x:c>
      <x:c r="G17" s="23" t="n">
        <x:v>1400</x:v>
      </x:c>
      <x:c r="H17" s="34" t="n">
        <x:f>C17-SUM(D17:G17)</x:f>
        <x:v>11300</x:v>
      </x:c>
      <x:c r="I17" s="34" t="n">
        <x:f>J16</x:f>
        <x:v>93900</x:v>
      </x:c>
      <x:c r="J17" s="34" t="n">
        <x:f>I17+H17</x:f>
        <x:v>105200</x:v>
      </x:c>
      <x:c r="K17" s="41" t="n">
        <x:f>J17/SUM(D17:G17)</x:f>
        <x:v>1.353925353925354</x:v>
      </x:c>
    </x:row>
    <x:row r="18">
      <x:c r="A18" s="1"/>
      <x:c r="B18" s="19" t="str">
        <x:v>Aug-26</x:v>
      </x:c>
      <x:c r="C18" s="23" t="n">
        <x:v>90800</x:v>
      </x:c>
      <x:c r="D18" s="23" t="n">
        <x:v>27400</x:v>
      </x:c>
      <x:c r="E18" s="23" t="n">
        <x:v>30100</x:v>
      </x:c>
      <x:c r="F18" s="23" t="n">
        <x:v>19600</x:v>
      </x:c>
      <x:c r="G18" s="23" t="n">
        <x:v>1650</x:v>
      </x:c>
      <x:c r="H18" s="34" t="n">
        <x:f>C18-SUM(D18:G18)</x:f>
        <x:v>12050</x:v>
      </x:c>
      <x:c r="I18" s="34" t="n">
        <x:f>J17</x:f>
        <x:v>105200</x:v>
      </x:c>
      <x:c r="J18" s="34" t="n">
        <x:f>I18+H18</x:f>
        <x:v>117250</x:v>
      </x:c>
      <x:c r="K18" s="41" t="n">
        <x:f>J18/SUM(D18:G18)</x:f>
        <x:v>1.488888888888889</x:v>
      </x:c>
    </x:row>
    <x:row r="19">
      <x:c r="A19" s="1"/>
      <x:c r="B19" s="19" t="str">
        <x:v>Sep-26</x:v>
      </x:c>
      <x:c r="C19" s="23" t="n">
        <x:v>93600</x:v>
      </x:c>
      <x:c r="D19" s="23" t="n">
        <x:v>28100</x:v>
      </x:c>
      <x:c r="E19" s="23" t="n">
        <x:v>30500</x:v>
      </x:c>
      <x:c r="F19" s="23" t="n">
        <x:v>20100</x:v>
      </x:c>
      <x:c r="G19" s="23" t="n">
        <x:v>1700</x:v>
      </x:c>
      <x:c r="H19" s="34" t="n">
        <x:f>C19-SUM(D19:G19)</x:f>
        <x:v>13200</x:v>
      </x:c>
      <x:c r="I19" s="34" t="n">
        <x:f>J18</x:f>
        <x:v>117250</x:v>
      </x:c>
      <x:c r="J19" s="34" t="n">
        <x:f>I19+H19</x:f>
        <x:v>130450</x:v>
      </x:c>
      <x:c r="K19" s="41" t="n">
        <x:f>J19/SUM(D19:G19)</x:f>
        <x:v>1.6225124378109452</x:v>
      </x:c>
    </x:row>
    <x:row r="20">
      <x:c r="A20" s="1"/>
      <x:c r="B20" s="22" t="str">
        <x:v>12-month total / closing balance</x:v>
      </x:c>
      <x:c r="C20" s="24" t="n">
        <x:f>SUM(C8:C19)</x:f>
        <x:v>998200</x:v>
      </x:c>
      <x:c r="D20" s="24" t="n">
        <x:f>SUM(D8:D19)</x:f>
        <x:v>309700</x:v>
      </x:c>
      <x:c r="E20" s="24" t="n">
        <x:f>SUM(E8:E19)</x:f>
        <x:v>347700</x:v>
      </x:c>
      <x:c r="F20" s="24" t="n">
        <x:f>SUM(F8:F19)</x:f>
        <x:v>229500</x:v>
      </x:c>
      <x:c r="G20" s="24" t="n">
        <x:f>SUM(G8:G19)</x:f>
        <x:v>17350</x:v>
      </x:c>
      <x:c r="H20" s="24" t="n">
        <x:f>SUM(H8:H19)</x:f>
        <x:v>93950</x:v>
      </x:c>
      <x:c r="I20" s="24"/>
      <x:c r="J20" s="24" t="n">
        <x:f>J19</x:f>
        <x:v>130450</x:v>
      </x:c>
      <x:c r="K20" s="42" t="n">
        <x:f>K19</x:f>
        <x:v>1.6225124378109452</x:v>
      </x:c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B97800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10" hidden="0" customWidth="1"/>
    <x:col min="3" max="3" width="34" hidden="0" customWidth="1"/>
    <x:col min="4" max="4" width="52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Recommendations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5" t="str">
        <x:v>Illustrative actions based on the fictional dataset. Impact estimates are directional and require validation with actual café data.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/>
      <x:c r="B6" s="8" t="str">
        <x:v>Prioritized profitability actions</x:v>
      </x:c>
      <x:c r="C6" s="9"/>
      <x:c r="D6" s="9"/>
      <x:c r="E6" s="9"/>
      <x:c r="F6" s="9"/>
      <x:c r="G6" s="9"/>
      <x:c r="H6" s="9"/>
      <x:c r="I6" s="9"/>
      <x:c r="J6" s="10"/>
    </x:row>
    <x:row r="7" ht="24" customHeight="1">
      <x:c r="A7" s="1"/>
      <x:c r="B7" s="15" t="str">
        <x:v>Priority</x:v>
      </x:c>
      <x:c r="C7" s="16" t="str">
        <x:v>Action</x:v>
      </x:c>
      <x:c r="D7" s="16" t="str">
        <x:v>Evidence from sample</x:v>
      </x:c>
      <x:c r="E7" s="16" t="str">
        <x:v>Estimated monthly impact</x:v>
      </x:c>
      <x:c r="F7" s="16" t="str">
        <x:v>Effort</x:v>
      </x:c>
      <x:c r="G7" s="16" t="str">
        <x:v>Timing</x:v>
      </x:c>
      <x:c r="H7" s="16" t="str">
        <x:v>Owner</x:v>
      </x:c>
      <x:c r="I7" s="16" t="str">
        <x:v>Status</x:v>
      </x:c>
      <x:c r="J7" s="17" t="str">
        <x:v>Measure</x:v>
      </x:c>
    </x:row>
    <x:row r="8" ht="42" customHeight="1">
      <x:c r="A8" s="1"/>
      <x:c r="B8" s="48" t="n">
        <x:v>1</x:v>
      </x:c>
      <x:c r="C8" s="49" t="str">
        <x:v>Reprice or redesign low-margin food items</x:v>
      </x:c>
      <x:c r="D8" s="49" t="str">
        <x:v>Chicken sandwich and retail beans show contribution below the menu average.</x:v>
      </x:c>
      <x:c r="E8" s="50" t="n">
        <x:v>1600</x:v>
      </x:c>
      <x:c r="F8" s="51" t="str">
        <x:v>Low</x:v>
      </x:c>
      <x:c r="G8" s="51" t="str">
        <x:v>0-30 days</x:v>
      </x:c>
      <x:c r="H8" s="51" t="str">
        <x:v>Owner</x:v>
      </x:c>
      <x:c r="I8" s="51" t="str">
        <x:v>Planned</x:v>
      </x:c>
      <x:c r="J8" s="52" t="str">
        <x:v>Contribution margin by item</x:v>
      </x:c>
    </x:row>
    <x:row r="9" ht="42" customHeight="1">
      <x:c r="A9" s="1"/>
      <x:c r="B9" s="48" t="n">
        <x:v>2</x:v>
      </x:c>
      <x:c r="C9" s="49" t="str">
        <x:v>Reduce overtime and rebalance roster</x:v>
      </x:c>
      <x:c r="D9" s="49" t="str">
        <x:v>Overtime is elevated early in the sample while sales per labour hour improves later.</x:v>
      </x:c>
      <x:c r="E9" s="50" t="n">
        <x:v>1250</x:v>
      </x:c>
      <x:c r="F9" s="51" t="str">
        <x:v>Medium</x:v>
      </x:c>
      <x:c r="G9" s="51" t="str">
        <x:v>0-30 days</x:v>
      </x:c>
      <x:c r="H9" s="51" t="str">
        <x:v>Manager</x:v>
      </x:c>
      <x:c r="I9" s="51" t="str">
        <x:v>Planned</x:v>
      </x:c>
      <x:c r="J9" s="52" t="str">
        <x:v>Labour % and overtime</x:v>
      </x:c>
    </x:row>
    <x:row r="10" ht="42" customHeight="1">
      <x:c r="A10" s="1"/>
      <x:c r="B10" s="48" t="n">
        <x:v>3</x:v>
      </x:c>
      <x:c r="C10" s="49" t="str">
        <x:v>Renegotiate top ingredient suppliers</x:v>
      </x:c>
      <x:c r="D10" s="49" t="str">
        <x:v>Food and beverage input costs absorb more than one quarter of sales.</x:v>
      </x:c>
      <x:c r="E10" s="50" t="n">
        <x:v>900</x:v>
      </x:c>
      <x:c r="F10" s="51" t="str">
        <x:v>Medium</x:v>
      </x:c>
      <x:c r="G10" s="51" t="str">
        <x:v>30-60 days</x:v>
      </x:c>
      <x:c r="H10" s="51" t="str">
        <x:v>Owner</x:v>
      </x:c>
      <x:c r="I10" s="51" t="str">
        <x:v>Not started</x:v>
      </x:c>
      <x:c r="J10" s="52" t="str">
        <x:v>COGS %</x:v>
      </x:c>
    </x:row>
    <x:row r="11" ht="42" customHeight="1">
      <x:c r="A11" s="1"/>
      <x:c r="B11" s="48" t="n">
        <x:v>4</x:v>
      </x:c>
      <x:c r="C11" s="49" t="str">
        <x:v>Tighten ordering and waste controls</x:v>
      </x:c>
      <x:c r="D11" s="49" t="str">
        <x:v>Stock variance and waste should be reconciled to theoretical recipe usage.</x:v>
      </x:c>
      <x:c r="E11" s="50" t="n">
        <x:v>650</x:v>
      </x:c>
      <x:c r="F11" s="51" t="str">
        <x:v>Medium</x:v>
      </x:c>
      <x:c r="G11" s="51" t="str">
        <x:v>30-60 days</x:v>
      </x:c>
      <x:c r="H11" s="51" t="str">
        <x:v>Kitchen lead</x:v>
      </x:c>
      <x:c r="I11" s="51" t="str">
        <x:v>Not started</x:v>
      </x:c>
      <x:c r="J11" s="52" t="str">
        <x:v>Waste % and stock variance</x:v>
      </x:c>
    </x:row>
    <x:row r="12" ht="42" customHeight="1">
      <x:c r="A12" s="1"/>
      <x:c r="B12" s="48" t="n">
        <x:v>5</x:v>
      </x:c>
      <x:c r="C12" s="49" t="str">
        <x:v>Review subscriptions and merchant fees</x:v>
      </x:c>
      <x:c r="D12" s="49" t="str">
        <x:v>Recurring fees should be tested against usage and alternative rates.</x:v>
      </x:c>
      <x:c r="E12" s="50" t="n">
        <x:v>350</x:v>
      </x:c>
      <x:c r="F12" s="51" t="str">
        <x:v>Low</x:v>
      </x:c>
      <x:c r="G12" s="51" t="str">
        <x:v>0-30 days</x:v>
      </x:c>
      <x:c r="H12" s="51" t="str">
        <x:v>Owner</x:v>
      </x:c>
      <x:c r="I12" s="51" t="str">
        <x:v>Not started</x:v>
      </x:c>
      <x:c r="J12" s="52" t="str">
        <x:v>Operating expense %</x:v>
      </x:c>
    </x:row>
    <x:row r="13" ht="42" customHeight="1">
      <x:c r="A13" s="1"/>
      <x:c r="B13" s="48" t="n">
        <x:v>6</x:v>
      </x:c>
      <x:c r="C13" s="49" t="str">
        <x:v>Promote high-contribution beverage bundles</x:v>
      </x:c>
      <x:c r="D13" s="49" t="str">
        <x:v>Flat white and long black provide strong unit contribution and volume.</x:v>
      </x:c>
      <x:c r="E13" s="50" t="n">
        <x:v>500</x:v>
      </x:c>
      <x:c r="F13" s="51" t="str">
        <x:v>Low</x:v>
      </x:c>
      <x:c r="G13" s="51" t="str">
        <x:v>30-60 days</x:v>
      </x:c>
      <x:c r="H13" s="51" t="str">
        <x:v>Manager</x:v>
      </x:c>
      <x:c r="I13" s="51" t="str">
        <x:v>Not started</x:v>
      </x:c>
      <x:c r="J13" s="52" t="str">
        <x:v>Average ticket and mix</x:v>
      </x:c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</x:sheetData>
  <x:pageMargins left="0.7" right="0.7" top="0.75" bottom="0.75" header="0.3" footer="0.3"/>
</x:worksheet>
</file>